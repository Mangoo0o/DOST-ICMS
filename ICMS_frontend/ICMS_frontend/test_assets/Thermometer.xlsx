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PSTO - LU\Desktop\Data Sheets\"/>
    </mc:Choice>
  </mc:AlternateContent>
  <xr:revisionPtr revIDLastSave="0" documentId="8_{1277160E-C78B-4240-9F65-6166D3FE8DEE}" xr6:coauthVersionLast="47" xr6:coauthVersionMax="47" xr10:uidLastSave="{00000000-0000-0000-0000-000000000000}"/>
  <bookViews>
    <workbookView xWindow="-120" yWindow="-120" windowWidth="29040" windowHeight="15720" activeTab="2" xr2:uid="{00000000-000D-0000-FFFF-FFFF00000000}"/>
  </bookViews>
  <sheets>
    <sheet name="Comp_Sht" sheetId="1" r:id="rId1"/>
    <sheet name="Testpoints" sheetId="6" r:id="rId2"/>
    <sheet name="Cal. Cert." sheetId="3" r:id="rId3"/>
  </sheets>
  <externalReferences>
    <externalReference r:id="rId4"/>
  </externalReferences>
  <definedNames>
    <definedName name="_xlnm._FilterDatabase" localSheetId="1" hidden="1">Testpoints!$A$1:$F$31</definedName>
    <definedName name="mass">Testpoints!$C$2:$C$29</definedName>
    <definedName name="mea">Testpoints!$A$2:$C$29</definedName>
    <definedName name="nomval">Testpoints!$A$2:$A$10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c r="I10" i="1"/>
  <c r="I11" i="1"/>
  <c r="I12" i="1"/>
  <c r="B32" i="3"/>
  <c r="B31" i="3"/>
  <c r="B30" i="3"/>
  <c r="K32" i="6"/>
  <c r="K29" i="6"/>
  <c r="K25" i="6"/>
  <c r="J25" i="6"/>
  <c r="I25" i="6"/>
  <c r="G25" i="6"/>
  <c r="K21" i="6"/>
  <c r="K18" i="6"/>
  <c r="K10" i="6"/>
  <c r="K7" i="6"/>
  <c r="H5" i="6"/>
  <c r="F5" i="6"/>
  <c r="H4" i="6"/>
  <c r="F4" i="6"/>
  <c r="J3" i="6"/>
  <c r="I3" i="6"/>
  <c r="H3" i="6"/>
  <c r="G3" i="6"/>
  <c r="F3" i="6"/>
  <c r="K3" i="6" s="1"/>
  <c r="E39" i="1"/>
  <c r="E37" i="1"/>
  <c r="E34" i="1"/>
  <c r="G5" i="6" s="1"/>
  <c r="I5" i="6" s="1"/>
  <c r="L28" i="1"/>
  <c r="P27" i="1" s="1"/>
  <c r="G26" i="6" s="1"/>
  <c r="I26" i="6" s="1"/>
  <c r="K28" i="1"/>
  <c r="P26" i="1" s="1"/>
  <c r="G15" i="6" s="1"/>
  <c r="I15" i="6" s="1"/>
  <c r="J28" i="1"/>
  <c r="P25" i="1" s="1"/>
  <c r="G4" i="6" s="1"/>
  <c r="I4" i="6" s="1"/>
  <c r="F22" i="1"/>
  <c r="D32" i="3" s="1"/>
  <c r="E22" i="1"/>
  <c r="D31" i="3" s="1"/>
  <c r="C22" i="1"/>
  <c r="D30" i="3" s="1"/>
  <c r="D20" i="1"/>
  <c r="D19" i="1"/>
  <c r="R17" i="1"/>
  <c r="Q17" i="1"/>
  <c r="L17" i="1"/>
  <c r="L16" i="1"/>
  <c r="D16" i="1"/>
  <c r="M12" i="1"/>
  <c r="M11" i="1"/>
  <c r="G14" i="6" s="1"/>
  <c r="I14" i="6" s="1"/>
  <c r="M10" i="1"/>
  <c r="G27" i="6" l="1"/>
  <c r="I27" i="6" s="1"/>
  <c r="K27" i="6" s="1"/>
  <c r="D22" i="1"/>
  <c r="D24" i="1" s="1"/>
  <c r="G30" i="3"/>
  <c r="K14" i="6"/>
  <c r="J14" i="6"/>
  <c r="G16" i="6"/>
  <c r="I16" i="6" s="1"/>
  <c r="K16" i="6" s="1"/>
  <c r="K5" i="6"/>
  <c r="J5" i="6"/>
  <c r="F23" i="1"/>
  <c r="F26" i="1" s="1"/>
  <c r="K26" i="6"/>
  <c r="J26" i="6"/>
  <c r="G32" i="3"/>
  <c r="F24" i="1"/>
  <c r="F27" i="1" s="1"/>
  <c r="F25" i="1"/>
  <c r="F28" i="1" s="1"/>
  <c r="J15" i="6"/>
  <c r="K15" i="6"/>
  <c r="E25" i="1"/>
  <c r="E28" i="1" s="1"/>
  <c r="E23" i="1"/>
  <c r="E26" i="1" s="1"/>
  <c r="E24" i="1"/>
  <c r="E27" i="1" s="1"/>
  <c r="G31" i="3"/>
  <c r="C25" i="1"/>
  <c r="C28" i="1" s="1"/>
  <c r="C24" i="1"/>
  <c r="C27" i="1" s="1"/>
  <c r="C23" i="1"/>
  <c r="C26" i="1" s="1"/>
  <c r="K4" i="6"/>
  <c r="J4" i="6"/>
  <c r="D25" i="1" l="1"/>
  <c r="K6" i="6"/>
  <c r="J27" i="6"/>
  <c r="J28" i="6" s="1"/>
  <c r="J29" i="6" s="1"/>
  <c r="J16" i="6"/>
  <c r="J17" i="6" s="1"/>
  <c r="J18" i="6" s="1"/>
  <c r="L22" i="1"/>
  <c r="L23" i="1" s="1"/>
  <c r="D23" i="1"/>
  <c r="K28" i="6"/>
  <c r="J6" i="6"/>
  <c r="J7" i="6" s="1"/>
  <c r="K17" i="6"/>
  <c r="K22" i="1"/>
  <c r="K23" i="1" s="1"/>
  <c r="J22" i="1"/>
  <c r="J23" i="1" s="1"/>
  <c r="J19" i="6" l="1"/>
  <c r="J20" i="6" s="1"/>
  <c r="J21" i="6" s="1"/>
  <c r="J31" i="3" s="1"/>
  <c r="J8" i="6"/>
  <c r="J9" i="6" s="1"/>
  <c r="J10" i="6" s="1"/>
  <c r="J30" i="3" s="1"/>
  <c r="J30" i="6"/>
  <c r="J31" i="6" s="1"/>
  <c r="J32" i="6" s="1"/>
  <c r="J32" i="3" s="1"/>
</calcChain>
</file>

<file path=xl/sharedStrings.xml><?xml version="1.0" encoding="utf-8"?>
<sst xmlns="http://schemas.openxmlformats.org/spreadsheetml/2006/main" count="223" uniqueCount="133">
  <si>
    <t>Uncertainty Meaurement for Thermometer/Sensor</t>
  </si>
  <si>
    <t xml:space="preserve">1) Uncertainty due to Reference Standard Used Un/ U1 Standard Uncertainty of SPRT and Read-out/ Indicator) </t>
  </si>
  <si>
    <t>Standard Platinum Resistance Thermometer</t>
  </si>
  <si>
    <t>Description</t>
  </si>
  <si>
    <t xml:space="preserve">Digital Thermometer with PT100 Probe </t>
  </si>
  <si>
    <t>Confidence level = 95 %</t>
  </si>
  <si>
    <t>Standard k factor (from cal cert) k=</t>
  </si>
  <si>
    <t>Degrees of freedom (infinite), df1=</t>
  </si>
  <si>
    <t>Sensitivity Coefficient, sc1=</t>
  </si>
  <si>
    <r>
      <rPr>
        <sz val="11"/>
        <color theme="1"/>
        <rFont val="Calibri"/>
        <family val="2"/>
        <scheme val="minor"/>
      </rPr>
      <t xml:space="preserve">Actual Temperature </t>
    </r>
    <r>
      <rPr>
        <sz val="11"/>
        <color theme="1"/>
        <rFont val="Calibri"/>
        <family val="2"/>
      </rPr>
      <t>°C</t>
    </r>
  </si>
  <si>
    <t>Digital Thermometer Indicated Values °C</t>
  </si>
  <si>
    <t>Corrections</t>
  </si>
  <si>
    <t>Uncertainty (°C)</t>
  </si>
  <si>
    <t>Uncertainty Un</t>
  </si>
  <si>
    <t>Standard uncertainty (from cal cert.), Us</t>
  </si>
  <si>
    <t>°C</t>
  </si>
  <si>
    <r>
      <rPr>
        <sz val="11"/>
        <color theme="1"/>
        <rFont val="Calibri"/>
        <family val="2"/>
        <scheme val="minor"/>
      </rPr>
      <t>U</t>
    </r>
    <r>
      <rPr>
        <vertAlign val="subscript"/>
        <sz val="11"/>
        <color theme="1"/>
        <rFont val="Calibri"/>
        <family val="2"/>
        <scheme val="minor"/>
      </rPr>
      <t>N</t>
    </r>
  </si>
  <si>
    <r>
      <rPr>
        <sz val="11"/>
        <color theme="1"/>
        <rFont val="Arial Narrow"/>
        <family val="2"/>
      </rPr>
      <t>∑</t>
    </r>
    <r>
      <rPr>
        <sz val="11"/>
        <color theme="1"/>
        <rFont val="Calibri"/>
        <family val="2"/>
      </rPr>
      <t>U</t>
    </r>
    <r>
      <rPr>
        <vertAlign val="subscript"/>
        <sz val="11"/>
        <color theme="1"/>
        <rFont val="Calibri"/>
        <family val="2"/>
      </rPr>
      <t>Ni</t>
    </r>
  </si>
  <si>
    <t>k</t>
  </si>
  <si>
    <t>Environment Condition</t>
  </si>
  <si>
    <t>Time</t>
  </si>
  <si>
    <r>
      <rPr>
        <b/>
        <sz val="10"/>
        <color theme="1"/>
        <rFont val="Arial Narrow"/>
        <family val="2"/>
      </rPr>
      <t>Temperature (</t>
    </r>
    <r>
      <rPr>
        <b/>
        <vertAlign val="superscript"/>
        <sz val="10"/>
        <color theme="1"/>
        <rFont val="Arial Narrow"/>
        <family val="2"/>
      </rPr>
      <t>o</t>
    </r>
    <r>
      <rPr>
        <b/>
        <sz val="10"/>
        <color theme="1"/>
        <rFont val="Arial Narrow"/>
        <family val="2"/>
      </rPr>
      <t>C)</t>
    </r>
  </si>
  <si>
    <t>Humidity (% RH)</t>
  </si>
  <si>
    <t>2) Uncertainty due to Repeatability (Ur/ U2)</t>
  </si>
  <si>
    <t>Start</t>
  </si>
  <si>
    <t>x</t>
  </si>
  <si>
    <t>No. Of Trials (n)=</t>
  </si>
  <si>
    <t>End</t>
  </si>
  <si>
    <t>Testpoint 1</t>
  </si>
  <si>
    <t>Testpoint 2</t>
  </si>
  <si>
    <t>Testpoint 3</t>
  </si>
  <si>
    <t>Degrees of freedom (n-1), df2=</t>
  </si>
  <si>
    <t>Average</t>
  </si>
  <si>
    <t>Trial 1</t>
  </si>
  <si>
    <t>Sensitivity Coefficient, sc2=</t>
  </si>
  <si>
    <t>Trial 2</t>
  </si>
  <si>
    <t>Trial 3</t>
  </si>
  <si>
    <t>Standard dev/ Sr = √ (1/n-1)[∑(x-x')2]</t>
  </si>
  <si>
    <t>Ave, x'</t>
  </si>
  <si>
    <t>∑(x-x')2</t>
  </si>
  <si>
    <r>
      <rPr>
        <sz val="11"/>
        <color theme="1"/>
        <rFont val="Calibri"/>
        <family val="2"/>
        <scheme val="minor"/>
      </rPr>
      <t xml:space="preserve"> U</t>
    </r>
    <r>
      <rPr>
        <vertAlign val="subscript"/>
        <sz val="11"/>
        <color theme="1"/>
        <rFont val="Calibri"/>
        <family val="2"/>
        <scheme val="minor"/>
      </rPr>
      <t>r</t>
    </r>
    <r>
      <rPr>
        <sz val="11"/>
        <color theme="1"/>
        <rFont val="Calibri"/>
        <family val="2"/>
        <scheme val="minor"/>
      </rPr>
      <t xml:space="preserve">   =</t>
    </r>
  </si>
  <si>
    <r>
      <rPr>
        <sz val="11"/>
        <color theme="1"/>
        <rFont val="Calibri"/>
        <family val="2"/>
        <scheme val="minor"/>
      </rPr>
      <t>S</t>
    </r>
    <r>
      <rPr>
        <vertAlign val="subscript"/>
        <sz val="11"/>
        <color theme="1"/>
        <rFont val="Calibri"/>
        <family val="2"/>
        <scheme val="minor"/>
      </rPr>
      <t>r</t>
    </r>
  </si>
  <si>
    <t>x-x'</t>
  </si>
  <si>
    <t>T1</t>
  </si>
  <si>
    <r>
      <rPr>
        <sz val="11"/>
        <color theme="1"/>
        <rFont val="Arial Narrow"/>
        <family val="2"/>
      </rPr>
      <t>S</t>
    </r>
    <r>
      <rPr>
        <vertAlign val="subscript"/>
        <sz val="11"/>
        <color theme="1"/>
        <rFont val="Arial Narrow"/>
        <family val="2"/>
      </rPr>
      <t>r =</t>
    </r>
  </si>
  <si>
    <t>√n</t>
  </si>
  <si>
    <t>T2</t>
  </si>
  <si>
    <t>LONG CUT STANDARD DEVIATION</t>
  </si>
  <si>
    <t>T3</t>
  </si>
  <si>
    <t>'(x-x')2</t>
  </si>
  <si>
    <t>Sr (excel)</t>
  </si>
  <si>
    <t>3) Uncertainty due to readability (Ud/ U3)</t>
  </si>
  <si>
    <t>Resolution/Graduation, Rg</t>
  </si>
  <si>
    <t>Readability, Rd</t>
  </si>
  <si>
    <t>(0.1 for 1/10, 0.2 for 1/5, 0.5 for 1/2, 1 for 1/1)</t>
  </si>
  <si>
    <t>Ud= (Rg* Rd )/ √3</t>
  </si>
  <si>
    <t>Absolute uncertainty of device</t>
  </si>
  <si>
    <t>Measured value</t>
  </si>
  <si>
    <t>Relative uncertainty %R</t>
  </si>
  <si>
    <t>(5 best, 10 good, 20 poor)</t>
  </si>
  <si>
    <t>Degrees of freedom df3</t>
  </si>
  <si>
    <t>1/2(100/%R)^2 = 0.5(100/%R)^2</t>
  </si>
  <si>
    <t>Sensitivity Coefficient, sc3</t>
  </si>
  <si>
    <t>For 1ST testpoint</t>
  </si>
  <si>
    <t>Component</t>
  </si>
  <si>
    <t>units</t>
  </si>
  <si>
    <t>Distribution</t>
  </si>
  <si>
    <t>Type</t>
  </si>
  <si>
    <r>
      <rPr>
        <sz val="11"/>
        <color theme="1"/>
        <rFont val="Calibri"/>
        <family val="2"/>
        <scheme val="minor"/>
      </rPr>
      <t>df</t>
    </r>
    <r>
      <rPr>
        <vertAlign val="subscript"/>
        <sz val="11"/>
        <color theme="1"/>
        <rFont val="Calibri"/>
        <family val="2"/>
        <scheme val="minor"/>
      </rPr>
      <t>i</t>
    </r>
  </si>
  <si>
    <r>
      <rPr>
        <sz val="11"/>
        <color theme="1"/>
        <rFont val="Calibri"/>
        <family val="2"/>
        <scheme val="minor"/>
      </rPr>
      <t>u</t>
    </r>
    <r>
      <rPr>
        <vertAlign val="subscript"/>
        <sz val="11"/>
        <color theme="1"/>
        <rFont val="Calibri"/>
        <family val="2"/>
        <scheme val="minor"/>
      </rPr>
      <t>i</t>
    </r>
  </si>
  <si>
    <r>
      <rPr>
        <sz val="11"/>
        <color theme="1"/>
        <rFont val="Calibri"/>
        <family val="2"/>
        <scheme val="minor"/>
      </rPr>
      <t>sc</t>
    </r>
    <r>
      <rPr>
        <vertAlign val="subscript"/>
        <sz val="11"/>
        <color theme="1"/>
        <rFont val="Calibri"/>
        <family val="2"/>
        <scheme val="minor"/>
      </rPr>
      <t>i</t>
    </r>
  </si>
  <si>
    <r>
      <rPr>
        <sz val="11"/>
        <color theme="1"/>
        <rFont val="Calibri"/>
        <family val="2"/>
        <scheme val="minor"/>
      </rPr>
      <t>u</t>
    </r>
    <r>
      <rPr>
        <vertAlign val="subscript"/>
        <sz val="11"/>
        <color theme="1"/>
        <rFont val="Calibri"/>
        <family val="2"/>
        <scheme val="minor"/>
      </rPr>
      <t>i</t>
    </r>
    <r>
      <rPr>
        <sz val="11"/>
        <color theme="1"/>
        <rFont val="Calibri"/>
        <family val="2"/>
        <scheme val="minor"/>
      </rPr>
      <t>sc</t>
    </r>
    <r>
      <rPr>
        <vertAlign val="subscript"/>
        <sz val="11"/>
        <color theme="1"/>
        <rFont val="Calibri"/>
        <family val="2"/>
        <scheme val="minor"/>
      </rPr>
      <t>i</t>
    </r>
  </si>
  <si>
    <r>
      <rPr>
        <sz val="11"/>
        <color theme="1"/>
        <rFont val="Calibri"/>
        <family val="2"/>
        <scheme val="minor"/>
      </rPr>
      <t>(u</t>
    </r>
    <r>
      <rPr>
        <vertAlign val="subscript"/>
        <sz val="11"/>
        <color theme="1"/>
        <rFont val="Calibri"/>
        <family val="2"/>
        <scheme val="minor"/>
      </rPr>
      <t>i</t>
    </r>
    <r>
      <rPr>
        <sz val="11"/>
        <color theme="1"/>
        <rFont val="Calibri"/>
        <family val="2"/>
        <scheme val="minor"/>
      </rPr>
      <t>sc</t>
    </r>
    <r>
      <rPr>
        <vertAlign val="subscript"/>
        <sz val="11"/>
        <color theme="1"/>
        <rFont val="Calibri"/>
        <family val="2"/>
        <scheme val="minor"/>
      </rPr>
      <t>i</t>
    </r>
    <r>
      <rPr>
        <sz val="11"/>
        <color theme="1"/>
        <rFont val="Calibri"/>
        <family val="2"/>
        <scheme val="minor"/>
      </rPr>
      <t>)</t>
    </r>
    <r>
      <rPr>
        <vertAlign val="superscript"/>
        <sz val="11"/>
        <color theme="1"/>
        <rFont val="Calibri"/>
        <family val="2"/>
        <scheme val="minor"/>
      </rPr>
      <t>2</t>
    </r>
  </si>
  <si>
    <r>
      <rPr>
        <sz val="11"/>
        <color theme="1"/>
        <rFont val="Calibri"/>
        <family val="2"/>
        <scheme val="minor"/>
      </rPr>
      <t>(u</t>
    </r>
    <r>
      <rPr>
        <vertAlign val="subscript"/>
        <sz val="11"/>
        <color theme="1"/>
        <rFont val="Calibri"/>
        <family val="2"/>
        <scheme val="minor"/>
      </rPr>
      <t>i</t>
    </r>
    <r>
      <rPr>
        <sz val="11"/>
        <color theme="1"/>
        <rFont val="Calibri"/>
        <family val="2"/>
        <scheme val="minor"/>
      </rPr>
      <t>sc</t>
    </r>
    <r>
      <rPr>
        <vertAlign val="subscript"/>
        <sz val="11"/>
        <color theme="1"/>
        <rFont val="Calibri"/>
        <family val="2"/>
        <scheme val="minor"/>
      </rPr>
      <t>i</t>
    </r>
    <r>
      <rPr>
        <sz val="11"/>
        <color theme="1"/>
        <rFont val="Calibri"/>
        <family val="2"/>
        <scheme val="minor"/>
      </rPr>
      <t>)</t>
    </r>
    <r>
      <rPr>
        <vertAlign val="superscript"/>
        <sz val="11"/>
        <color theme="1"/>
        <rFont val="Calibri"/>
        <family val="2"/>
        <scheme val="minor"/>
      </rPr>
      <t>4</t>
    </r>
    <r>
      <rPr>
        <sz val="11"/>
        <color theme="1"/>
        <rFont val="Calibri"/>
        <family val="2"/>
        <scheme val="minor"/>
      </rPr>
      <t>/df</t>
    </r>
    <r>
      <rPr>
        <vertAlign val="subscript"/>
        <sz val="11"/>
        <color theme="1"/>
        <rFont val="Calibri"/>
        <family val="2"/>
        <scheme val="minor"/>
      </rPr>
      <t>i</t>
    </r>
  </si>
  <si>
    <t>Un: Std Uncertainty</t>
  </si>
  <si>
    <t>Normal</t>
  </si>
  <si>
    <t>B</t>
  </si>
  <si>
    <t>Ur: Repeatability</t>
  </si>
  <si>
    <t>A</t>
  </si>
  <si>
    <t>Ud: Readability/Resolution</t>
  </si>
  <si>
    <t>Rect.</t>
  </si>
  <si>
    <t>Sum</t>
  </si>
  <si>
    <r>
      <rPr>
        <sz val="11"/>
        <color theme="1"/>
        <rFont val="Calibri"/>
        <family val="2"/>
        <scheme val="minor"/>
      </rPr>
      <t>Combined Standard uncertainty = square root of the sum of (u</t>
    </r>
    <r>
      <rPr>
        <vertAlign val="subscript"/>
        <sz val="11"/>
        <color theme="1"/>
        <rFont val="Calibri"/>
        <family val="2"/>
        <scheme val="minor"/>
      </rPr>
      <t>i</t>
    </r>
    <r>
      <rPr>
        <sz val="11"/>
        <color theme="1"/>
        <rFont val="Calibri"/>
        <family val="2"/>
        <scheme val="minor"/>
      </rPr>
      <t>sc</t>
    </r>
    <r>
      <rPr>
        <vertAlign val="subscript"/>
        <sz val="11"/>
        <color theme="1"/>
        <rFont val="Calibri"/>
        <family val="2"/>
        <scheme val="minor"/>
      </rPr>
      <t>i</t>
    </r>
    <r>
      <rPr>
        <sz val="11"/>
        <color theme="1"/>
        <rFont val="Calibri"/>
        <family val="2"/>
        <scheme val="minor"/>
      </rPr>
      <t>)</t>
    </r>
    <r>
      <rPr>
        <vertAlign val="superscript"/>
        <sz val="11"/>
        <color theme="1"/>
        <rFont val="Calibri"/>
        <family val="2"/>
        <scheme val="minor"/>
      </rPr>
      <t>2</t>
    </r>
    <r>
      <rPr>
        <sz val="11"/>
        <color theme="1"/>
        <rFont val="Calibri"/>
        <family val="2"/>
        <scheme val="minor"/>
      </rPr>
      <t>,</t>
    </r>
    <r>
      <rPr>
        <vertAlign val="superscript"/>
        <sz val="11"/>
        <color theme="1"/>
        <rFont val="Calibri"/>
        <family val="2"/>
        <scheme val="minor"/>
      </rPr>
      <t xml:space="preserve"> </t>
    </r>
    <r>
      <rPr>
        <sz val="11"/>
        <color theme="1"/>
        <rFont val="Calibri"/>
        <family val="2"/>
        <scheme val="minor"/>
      </rPr>
      <t>U</t>
    </r>
    <r>
      <rPr>
        <vertAlign val="subscript"/>
        <sz val="11"/>
        <color theme="1"/>
        <rFont val="Calibri"/>
        <family val="2"/>
        <scheme val="minor"/>
      </rPr>
      <t>c</t>
    </r>
  </si>
  <si>
    <r>
      <rPr>
        <sz val="11"/>
        <color theme="1"/>
        <rFont val="Calibri"/>
        <family val="2"/>
        <scheme val="minor"/>
      </rPr>
      <t>Effective degrees of freedom = (U</t>
    </r>
    <r>
      <rPr>
        <vertAlign val="subscript"/>
        <sz val="11"/>
        <color theme="1"/>
        <rFont val="Calibri"/>
        <family val="2"/>
        <scheme val="minor"/>
      </rPr>
      <t>c</t>
    </r>
    <r>
      <rPr>
        <sz val="11"/>
        <color theme="1"/>
        <rFont val="Calibri"/>
        <family val="2"/>
        <scheme val="minor"/>
      </rPr>
      <t>)</t>
    </r>
    <r>
      <rPr>
        <vertAlign val="superscript"/>
        <sz val="11"/>
        <color theme="1"/>
        <rFont val="Calibri"/>
        <family val="2"/>
        <scheme val="minor"/>
      </rPr>
      <t xml:space="preserve">4 </t>
    </r>
    <r>
      <rPr>
        <sz val="11"/>
        <color theme="1"/>
        <rFont val="Calibri"/>
        <family val="2"/>
        <scheme val="minor"/>
      </rPr>
      <t>/ sum of (u</t>
    </r>
    <r>
      <rPr>
        <vertAlign val="subscript"/>
        <sz val="11"/>
        <color theme="1"/>
        <rFont val="Calibri"/>
        <family val="2"/>
        <scheme val="minor"/>
      </rPr>
      <t>i</t>
    </r>
    <r>
      <rPr>
        <sz val="11"/>
        <color theme="1"/>
        <rFont val="Calibri"/>
        <family val="2"/>
        <scheme val="minor"/>
      </rPr>
      <t>sc</t>
    </r>
    <r>
      <rPr>
        <vertAlign val="subscript"/>
        <sz val="11"/>
        <color theme="1"/>
        <rFont val="Calibri"/>
        <family val="2"/>
        <scheme val="minor"/>
      </rPr>
      <t>i</t>
    </r>
    <r>
      <rPr>
        <sz val="11"/>
        <color theme="1"/>
        <rFont val="Calibri"/>
        <family val="2"/>
        <scheme val="minor"/>
      </rPr>
      <t>)</t>
    </r>
    <r>
      <rPr>
        <vertAlign val="superscript"/>
        <sz val="11"/>
        <color theme="1"/>
        <rFont val="Calibri"/>
        <family val="2"/>
        <scheme val="minor"/>
      </rPr>
      <t>4</t>
    </r>
    <r>
      <rPr>
        <sz val="11"/>
        <color theme="1"/>
        <rFont val="Calibri"/>
        <family val="2"/>
        <scheme val="minor"/>
      </rPr>
      <t>/df</t>
    </r>
    <r>
      <rPr>
        <vertAlign val="subscript"/>
        <sz val="11"/>
        <color theme="1"/>
        <rFont val="Calibri"/>
        <family val="2"/>
        <scheme val="minor"/>
      </rPr>
      <t>i</t>
    </r>
  </si>
  <si>
    <r>
      <rPr>
        <sz val="11"/>
        <color theme="1"/>
        <rFont val="Calibri"/>
        <family val="2"/>
        <scheme val="minor"/>
      </rPr>
      <t>V</t>
    </r>
    <r>
      <rPr>
        <vertAlign val="subscript"/>
        <sz val="11"/>
        <color theme="1"/>
        <rFont val="Calibri"/>
        <family val="2"/>
        <scheme val="minor"/>
      </rPr>
      <t>eff</t>
    </r>
  </si>
  <si>
    <r>
      <rPr>
        <sz val="11"/>
        <color theme="1"/>
        <rFont val="Calibri"/>
        <family val="2"/>
        <scheme val="minor"/>
      </rPr>
      <t>Coverage Factor = Students (for V</t>
    </r>
    <r>
      <rPr>
        <vertAlign val="subscript"/>
        <sz val="11"/>
        <color theme="1"/>
        <rFont val="Calibri"/>
        <family val="2"/>
        <scheme val="minor"/>
      </rPr>
      <t>eff</t>
    </r>
    <r>
      <rPr>
        <sz val="11"/>
        <color theme="1"/>
        <rFont val="Calibri"/>
        <family val="2"/>
        <scheme val="minor"/>
      </rPr>
      <t xml:space="preserve"> and C.L. 95%), K</t>
    </r>
  </si>
  <si>
    <r>
      <rPr>
        <sz val="11"/>
        <color theme="1"/>
        <rFont val="Calibri"/>
        <family val="2"/>
        <scheme val="minor"/>
      </rPr>
      <t>Expanded Uncertainty @ 95% C.L., U</t>
    </r>
    <r>
      <rPr>
        <vertAlign val="subscript"/>
        <sz val="11"/>
        <color theme="1"/>
        <rFont val="Calibri"/>
        <family val="2"/>
        <scheme val="minor"/>
      </rPr>
      <t>e</t>
    </r>
  </si>
  <si>
    <t>For 2ND testpoint</t>
  </si>
  <si>
    <t>For 3RD testpoint</t>
  </si>
  <si>
    <t>REGIONAL STANDARDS AND TESTING LABORATORY</t>
  </si>
  <si>
    <t>CALIBRATION CERTIFICATE</t>
  </si>
  <si>
    <t xml:space="preserve">Reference No. </t>
  </si>
  <si>
    <t>:</t>
  </si>
  <si>
    <t>Sample No.</t>
  </si>
  <si>
    <t>Date Submitted</t>
  </si>
  <si>
    <t>Date Calibrated</t>
  </si>
  <si>
    <t>Calibration Item</t>
  </si>
  <si>
    <t>Make</t>
  </si>
  <si>
    <t>Model No.</t>
  </si>
  <si>
    <t>Serial No.</t>
  </si>
  <si>
    <t>Resolution</t>
  </si>
  <si>
    <t>Readabilty</t>
  </si>
  <si>
    <t>Customer</t>
  </si>
  <si>
    <t>Address</t>
  </si>
  <si>
    <t xml:space="preserve">MEASUREMENT RESULTS: </t>
  </si>
  <si>
    <t>This certifies that the above THERMOMETER/ SENSOR was calibrated by the Regional Metrology Laboratory at Government Center, Sevilla, City of San Fernando, La Union under the following environmental conditions:</t>
  </si>
  <si>
    <t xml:space="preserve">Ambient Temperature (º C) </t>
  </si>
  <si>
    <t>º C</t>
  </si>
  <si>
    <t>Relative Humidity (%)</t>
  </si>
  <si>
    <t>%</t>
  </si>
  <si>
    <t>Standard Reading  º C</t>
  </si>
  <si>
    <t>UUT Reading  º C</t>
  </si>
  <si>
    <t>Correction  º C</t>
  </si>
  <si>
    <t>Uncertainty of Measurement</t>
  </si>
  <si>
    <t xml:space="preserve">   </t>
  </si>
  <si>
    <t>The procedure is in accordance with the laboratory’s in-house calibration method (CM-MTR-009) with the following results at the indicated test points. The specified expanded uncertainty is at a confidence level of approximately 95% with a coverage factor of k=2.</t>
  </si>
  <si>
    <t>STANDARDS USED AND TRACEABILITY</t>
  </si>
  <si>
    <t>Name of Standard</t>
  </si>
  <si>
    <t>Calibration Certificate No.</t>
  </si>
  <si>
    <t>Issuing Lab/Traceability</t>
  </si>
  <si>
    <t xml:space="preserve">   Temperature Readout               Isotech TTI-10 </t>
  </si>
  <si>
    <t>102023-DT-0089</t>
  </si>
  <si>
    <t xml:space="preserve">                                                                                                           NML-Philippines, ITDI</t>
  </si>
  <si>
    <t>REMARKS:</t>
  </si>
  <si>
    <t>•</t>
  </si>
  <si>
    <t>The results given in this report are obtained at the time of the test and refer only to the particular instrument submitted. This report shall not be reproduced except in full, without the written approval of the laboratory.</t>
  </si>
  <si>
    <t xml:space="preserve">This instrument was calibrated using reference standard traceable to SI Units of measurement through National Metrology Laboratory                                                                 </t>
  </si>
  <si>
    <t>The End user should determine the suitability of equipment for it's intended use.</t>
  </si>
  <si>
    <t>No adjustments were performed on the thermometer</t>
  </si>
  <si>
    <t>JULIUS R. ALVIOR</t>
  </si>
  <si>
    <t>Calibration Engineer</t>
  </si>
  <si>
    <t>BERNADINE P. SUNIEGA</t>
  </si>
  <si>
    <t>Technical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</si>
</sst>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00"/>
    <numFmt numFmtId="166" formatCode="0.0000"/>
    <numFmt numFmtId="167" formatCode="0E+00"/>
    <numFmt numFmtId="168" formatCode="0.00000000"/>
  </numFmts>
  <fonts count="31">
    <font>
      <sz val="11"/>
      <color theme="1"/>
      <name val="Calibri"/>
      <charset val="134"/>
      <scheme val="minor"/>
    </font>
    <font>
      <sz val="11"/>
      <color theme="1"/>
      <name val="Calibri"/>
      <family val="2"/>
      <scheme val="minor"/>
    </font>
    <font>
      <b/>
      <sz val="13"/>
      <color rgb="FF00B0F0"/>
      <name val="Arial"/>
      <family val="2"/>
    </font>
    <font>
      <b/>
      <sz val="14"/>
      <color theme="1"/>
      <name val="Calibri"/>
      <family val="2"/>
      <scheme val="minor"/>
    </font>
    <font>
      <sz val="10"/>
      <color theme="1"/>
      <name val="Arial Narrow"/>
      <family val="2"/>
    </font>
    <font>
      <sz val="12"/>
      <color theme="1"/>
      <name val="Calibri"/>
      <family val="2"/>
      <scheme val="minor"/>
    </font>
    <font>
      <b/>
      <sz val="10"/>
      <color theme="1"/>
      <name val="Arial"/>
      <family val="2"/>
    </font>
    <font>
      <b/>
      <sz val="10"/>
      <name val="Arial"/>
      <family val="2"/>
    </font>
    <font>
      <sz val="10"/>
      <color theme="1"/>
      <name val="Arial"/>
      <family val="2"/>
    </font>
    <font>
      <b/>
      <sz val="10"/>
      <color theme="1"/>
      <name val="Arial Narrow"/>
      <family val="2"/>
    </font>
    <font>
      <sz val="10"/>
      <color theme="1"/>
      <name val="Calibri"/>
      <family val="2"/>
      <scheme val="minor"/>
    </font>
    <font>
      <b/>
      <sz val="11"/>
      <color theme="1"/>
      <name val="Arial"/>
      <family val="2"/>
    </font>
    <font>
      <sz val="11"/>
      <color theme="1"/>
      <name val="Arial"/>
      <family val="2"/>
    </font>
    <font>
      <sz val="11"/>
      <color theme="1"/>
      <name val="Calibri"/>
      <family val="2"/>
    </font>
    <font>
      <sz val="9"/>
      <color theme="1"/>
      <name val="Arial"/>
      <family val="2"/>
    </font>
    <font>
      <sz val="6"/>
      <color theme="1"/>
      <name val="Calibri"/>
      <family val="2"/>
      <scheme val="minor"/>
    </font>
    <font>
      <sz val="11"/>
      <color theme="1"/>
      <name val="Arial Narrow"/>
      <family val="2"/>
    </font>
    <font>
      <b/>
      <sz val="11"/>
      <color theme="1"/>
      <name val="Arial Narrow"/>
      <family val="2"/>
    </font>
    <font>
      <b/>
      <sz val="11"/>
      <color theme="1"/>
      <name val="Calibri"/>
      <family val="2"/>
      <scheme val="minor"/>
    </font>
    <font>
      <sz val="9"/>
      <color theme="1"/>
      <name val="Franklin Gothic Medium Cond"/>
      <family val="2"/>
    </font>
    <font>
      <sz val="11"/>
      <name val="Calibri"/>
      <family val="2"/>
      <scheme val="minor"/>
    </font>
    <font>
      <b/>
      <sz val="12"/>
      <color theme="1"/>
      <name val="Calibri"/>
      <family val="2"/>
      <scheme val="minor"/>
    </font>
    <font>
      <sz val="11"/>
      <color rgb="FFFF0000"/>
      <name val="Calibri"/>
      <family val="2"/>
      <scheme val="minor"/>
    </font>
    <font>
      <sz val="11"/>
      <color theme="1"/>
      <name val="Calibri"/>
      <family val="2"/>
      <scheme val="minor"/>
    </font>
    <font>
      <sz val="10"/>
      <name val="Arial"/>
      <family val="2"/>
    </font>
    <font>
      <b/>
      <vertAlign val="superscript"/>
      <sz val="10"/>
      <color theme="1"/>
      <name val="Arial Narrow"/>
      <family val="2"/>
    </font>
    <font>
      <vertAlign val="subscript"/>
      <sz val="11"/>
      <color theme="1"/>
      <name val="Calibri"/>
      <family val="2"/>
      <scheme val="minor"/>
    </font>
    <font>
      <vertAlign val="superscript"/>
      <sz val="11"/>
      <color theme="1"/>
      <name val="Calibri"/>
      <family val="2"/>
      <scheme val="minor"/>
    </font>
    <font>
      <vertAlign val="subscript"/>
      <sz val="11"/>
      <color theme="1"/>
      <name val="Calibri"/>
      <family val="2"/>
    </font>
    <font>
      <vertAlign val="subscript"/>
      <sz val="11"/>
      <color theme="1"/>
      <name val="Arial Narrow"/>
      <family val="2"/>
    </font>
    <font>
      <sz val="10"/>
      <color theme="1"/>
      <name val="Arial"/>
      <family val="2"/>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diagonal/>
    </border>
  </borders>
  <cellStyleXfs count="8">
    <xf numFmtId="0" fontId="0" fillId="0" borderId="0"/>
    <xf numFmtId="43" fontId="23"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cellStyleXfs>
  <cellXfs count="206">
    <xf numFmtId="0" fontId="0" fillId="0" borderId="0" xfId="0"/>
    <xf numFmtId="0" fontId="4" fillId="0" borderId="0" xfId="0" applyFont="1"/>
    <xf numFmtId="0" fontId="6" fillId="0" borderId="0" xfId="0" applyFont="1" applyAlignment="1">
      <alignment horizontal="center" vertical="center"/>
    </xf>
    <xf numFmtId="0" fontId="8" fillId="0" borderId="0" xfId="0" applyFont="1"/>
    <xf numFmtId="0" fontId="9" fillId="0" borderId="0" xfId="0" applyFont="1"/>
    <xf numFmtId="0" fontId="10" fillId="0" borderId="0" xfId="0" applyFont="1"/>
    <xf numFmtId="0" fontId="0" fillId="0" borderId="0" xfId="0" applyAlignment="1">
      <alignment horizontal="right"/>
    </xf>
    <xf numFmtId="0" fontId="9" fillId="0" borderId="0" xfId="0" applyFont="1" applyAlignment="1">
      <alignment horizontal="center"/>
    </xf>
    <xf numFmtId="0" fontId="11" fillId="0" borderId="0" xfId="0" applyFont="1"/>
    <xf numFmtId="0" fontId="4" fillId="0" borderId="0" xfId="0" applyFont="1" applyAlignment="1">
      <alignment horizontal="left" wrapText="1"/>
    </xf>
    <xf numFmtId="0" fontId="6" fillId="0" borderId="1" xfId="0" applyFont="1" applyBorder="1" applyAlignment="1">
      <alignment horizontal="center" vertical="center"/>
    </xf>
    <xf numFmtId="164" fontId="4" fillId="0" borderId="2" xfId="0" applyNumberFormat="1" applyFont="1" applyBorder="1"/>
    <xf numFmtId="0" fontId="9" fillId="0" borderId="3" xfId="0" applyFont="1" applyBorder="1"/>
    <xf numFmtId="0" fontId="9" fillId="0" borderId="4" xfId="0" applyFont="1" applyBorder="1"/>
    <xf numFmtId="0" fontId="6" fillId="0" borderId="3" xfId="0" applyFont="1" applyBorder="1" applyAlignment="1">
      <alignment vertical="center" wrapText="1"/>
    </xf>
    <xf numFmtId="0" fontId="6" fillId="0" borderId="4" xfId="0" applyFont="1" applyBorder="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4" fillId="0" borderId="0" xfId="0" applyFont="1" applyAlignment="1">
      <alignment horizontal="center" vertical="center"/>
    </xf>
    <xf numFmtId="0" fontId="8" fillId="0" borderId="5" xfId="0" applyFont="1" applyBorder="1" applyAlignment="1">
      <alignment horizontal="center"/>
    </xf>
    <xf numFmtId="0" fontId="12" fillId="0" borderId="5" xfId="0" applyFont="1" applyBorder="1"/>
    <xf numFmtId="0" fontId="8" fillId="0" borderId="0" xfId="0" applyFont="1" applyAlignment="1">
      <alignment horizontal="center" vertical="center"/>
    </xf>
    <xf numFmtId="1" fontId="8" fillId="0" borderId="0" xfId="0" applyNumberFormat="1" applyFont="1"/>
    <xf numFmtId="0" fontId="4" fillId="0" borderId="0" xfId="0" applyFont="1" applyAlignment="1">
      <alignment horizontal="center"/>
    </xf>
    <xf numFmtId="0" fontId="8" fillId="0" borderId="0" xfId="0" applyFont="1" applyAlignment="1">
      <alignment horizontal="center"/>
    </xf>
    <xf numFmtId="0" fontId="12" fillId="0" borderId="0" xfId="0" applyFont="1"/>
    <xf numFmtId="166" fontId="4" fillId="0" borderId="0" xfId="0" applyNumberFormat="1" applyFont="1"/>
    <xf numFmtId="166" fontId="4" fillId="0" borderId="0" xfId="0" applyNumberFormat="1" applyFont="1" applyAlignment="1">
      <alignment horizontal="center"/>
    </xf>
    <xf numFmtId="166" fontId="4" fillId="0" borderId="0" xfId="0" applyNumberFormat="1" applyFont="1" applyAlignment="1">
      <alignment vertical="center"/>
    </xf>
    <xf numFmtId="0" fontId="8" fillId="0" borderId="0" xfId="0" applyFont="1" applyAlignment="1">
      <alignment horizontal="left" vertical="top" wrapText="1"/>
    </xf>
    <xf numFmtId="0" fontId="0" fillId="0" borderId="0" xfId="0" applyAlignment="1">
      <alignment horizontal="center" vertical="center"/>
    </xf>
    <xf numFmtId="0" fontId="13" fillId="0" borderId="0" xfId="0" applyFont="1" applyAlignment="1">
      <alignment horizontal="center" vertical="center"/>
    </xf>
    <xf numFmtId="0" fontId="6" fillId="0" borderId="0" xfId="0" applyFont="1"/>
    <xf numFmtId="49" fontId="0" fillId="0" borderId="0" xfId="0" applyNumberFormat="1" applyAlignment="1">
      <alignment vertical="center" wrapText="1"/>
    </xf>
    <xf numFmtId="0" fontId="15" fillId="0" borderId="0" xfId="0" applyFont="1" applyAlignment="1">
      <alignment horizontal="center" vertical="center" wrapText="1"/>
    </xf>
    <xf numFmtId="49" fontId="0" fillId="0" borderId="0" xfId="0" applyNumberFormat="1" applyAlignment="1">
      <alignment horizontal="center" vertical="center" wrapText="1"/>
    </xf>
    <xf numFmtId="0" fontId="6" fillId="0" borderId="0" xfId="0" applyFont="1" applyAlignment="1">
      <alignment vertical="top"/>
    </xf>
    <xf numFmtId="0" fontId="16" fillId="0" borderId="0" xfId="0" applyFont="1"/>
    <xf numFmtId="0" fontId="12" fillId="0" borderId="0" xfId="0" applyFont="1" applyAlignment="1">
      <alignment vertical="top" wrapText="1"/>
    </xf>
    <xf numFmtId="0" fontId="12" fillId="0" borderId="0" xfId="0" applyFont="1" applyAlignment="1">
      <alignment horizontal="right" vertical="top" wrapText="1"/>
    </xf>
    <xf numFmtId="0" fontId="3" fillId="0" borderId="0" xfId="0" applyFont="1" applyAlignment="1">
      <alignment vertical="center"/>
    </xf>
    <xf numFmtId="0" fontId="0" fillId="0" borderId="0" xfId="0" applyAlignment="1">
      <alignment vertical="center"/>
    </xf>
    <xf numFmtId="0" fontId="16" fillId="0" borderId="0" xfId="0" applyFont="1" applyAlignment="1">
      <alignment horizontal="left" vertical="top" wrapText="1"/>
    </xf>
    <xf numFmtId="0" fontId="12" fillId="0" borderId="0" xfId="0" applyFont="1" applyAlignment="1">
      <alignment horizontal="left"/>
    </xf>
    <xf numFmtId="0" fontId="17" fillId="0" borderId="0" xfId="0" applyFont="1"/>
    <xf numFmtId="1" fontId="16" fillId="0" borderId="0" xfId="0" applyNumberFormat="1" applyFont="1" applyAlignment="1">
      <alignment horizontal="left" vertical="top" wrapText="1"/>
    </xf>
    <xf numFmtId="0" fontId="16" fillId="0" borderId="0" xfId="0" applyFont="1" applyAlignment="1">
      <alignment vertical="top" wrapText="1"/>
    </xf>
    <xf numFmtId="49" fontId="18" fillId="0" borderId="0" xfId="0" applyNumberFormat="1" applyFont="1" applyAlignment="1">
      <alignment horizontal="center"/>
    </xf>
    <xf numFmtId="0" fontId="18" fillId="0" borderId="0" xfId="0" applyFont="1"/>
    <xf numFmtId="0" fontId="0" fillId="0" borderId="0" xfId="0" applyAlignment="1">
      <alignment horizontal="center"/>
    </xf>
    <xf numFmtId="0" fontId="18" fillId="0" borderId="0" xfId="0" applyFont="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0" borderId="1" xfId="0" applyBorder="1" applyAlignment="1">
      <alignment horizontal="left"/>
    </xf>
    <xf numFmtId="0" fontId="0" fillId="0" borderId="1" xfId="0" applyBorder="1"/>
    <xf numFmtId="167" fontId="0" fillId="0" borderId="1" xfId="0" applyNumberFormat="1" applyBorder="1" applyAlignment="1">
      <alignment horizontal="center"/>
    </xf>
    <xf numFmtId="165" fontId="0" fillId="2" borderId="1" xfId="0" applyNumberFormat="1" applyFill="1" applyBorder="1" applyAlignment="1">
      <alignment horizontal="center"/>
    </xf>
    <xf numFmtId="0" fontId="0" fillId="0" borderId="2" xfId="0" applyBorder="1"/>
    <xf numFmtId="0" fontId="0" fillId="0" borderId="6" xfId="0" applyBorder="1"/>
    <xf numFmtId="165" fontId="0" fillId="0" borderId="1" xfId="0" applyNumberFormat="1" applyBorder="1" applyAlignment="1">
      <alignment horizontal="center"/>
    </xf>
    <xf numFmtId="166" fontId="0" fillId="0" borderId="1" xfId="0" applyNumberFormat="1" applyBorder="1" applyAlignment="1">
      <alignment horizontal="center"/>
    </xf>
    <xf numFmtId="0" fontId="0" fillId="0" borderId="3" xfId="0" applyBorder="1"/>
    <xf numFmtId="166" fontId="0" fillId="0" borderId="7" xfId="0" applyNumberFormat="1" applyBorder="1" applyAlignment="1">
      <alignment horizontal="center"/>
    </xf>
    <xf numFmtId="166" fontId="0" fillId="0" borderId="8" xfId="0" applyNumberFormat="1" applyBorder="1" applyAlignment="1">
      <alignment horizontal="center"/>
    </xf>
    <xf numFmtId="165" fontId="0" fillId="0" borderId="2" xfId="0" applyNumberFormat="1" applyBorder="1" applyAlignment="1">
      <alignment horizontal="center"/>
    </xf>
    <xf numFmtId="164" fontId="0" fillId="0" borderId="2" xfId="0" applyNumberFormat="1" applyBorder="1" applyAlignment="1">
      <alignment horizontal="center"/>
    </xf>
    <xf numFmtId="2" fontId="0" fillId="0" borderId="2" xfId="0" applyNumberFormat="1" applyBorder="1" applyAlignment="1">
      <alignment horizontal="center"/>
    </xf>
    <xf numFmtId="2" fontId="20" fillId="3" borderId="2" xfId="0" applyNumberFormat="1" applyFont="1" applyFill="1" applyBorder="1" applyAlignment="1">
      <alignment horizontal="center"/>
    </xf>
    <xf numFmtId="0" fontId="0" fillId="0" borderId="2" xfId="0" applyBorder="1" applyAlignment="1">
      <alignment vertical="center"/>
    </xf>
    <xf numFmtId="0" fontId="0" fillId="0" borderId="12" xfId="0" applyBorder="1" applyAlignment="1">
      <alignment horizontal="center" vertical="center" wrapText="1"/>
    </xf>
    <xf numFmtId="0" fontId="0" fillId="0" borderId="5" xfId="0" applyBorder="1" applyAlignment="1">
      <alignment horizontal="center" vertical="center" wrapText="1"/>
    </xf>
    <xf numFmtId="165" fontId="0" fillId="0" borderId="6" xfId="0" applyNumberFormat="1" applyBorder="1" applyAlignment="1">
      <alignment horizontal="center"/>
    </xf>
    <xf numFmtId="0" fontId="18" fillId="0" borderId="1" xfId="0" applyFont="1" applyBorder="1" applyAlignment="1">
      <alignment horizontal="center"/>
    </xf>
    <xf numFmtId="0" fontId="18" fillId="4" borderId="1" xfId="0" applyFont="1" applyFill="1" applyBorder="1" applyAlignment="1">
      <alignment horizontal="center"/>
    </xf>
    <xf numFmtId="0" fontId="0" fillId="0" borderId="0" xfId="0" applyAlignment="1">
      <alignment horizontal="left"/>
    </xf>
    <xf numFmtId="0" fontId="0" fillId="4" borderId="1" xfId="0" applyFill="1" applyBorder="1" applyAlignment="1">
      <alignment horizontal="left"/>
    </xf>
    <xf numFmtId="164" fontId="0" fillId="0" borderId="1" xfId="0" applyNumberFormat="1" applyBorder="1"/>
    <xf numFmtId="0" fontId="0" fillId="4" borderId="1" xfId="0" applyFill="1" applyBorder="1"/>
    <xf numFmtId="0" fontId="0" fillId="2" borderId="1" xfId="0" applyFill="1" applyBorder="1"/>
    <xf numFmtId="0" fontId="0" fillId="2" borderId="0" xfId="0" applyFill="1"/>
    <xf numFmtId="0" fontId="0" fillId="2" borderId="0" xfId="0" applyFill="1" applyAlignment="1">
      <alignment horizontal="center" vertical="center"/>
    </xf>
    <xf numFmtId="168" fontId="22" fillId="0" borderId="1" xfId="0" applyNumberFormat="1" applyFont="1" applyBorder="1"/>
    <xf numFmtId="165" fontId="22" fillId="0" borderId="0" xfId="0" applyNumberFormat="1" applyFont="1"/>
    <xf numFmtId="0" fontId="0" fillId="4" borderId="1" xfId="0" applyFill="1" applyBorder="1" applyAlignment="1">
      <alignment horizontal="left" vertical="center"/>
    </xf>
    <xf numFmtId="0" fontId="0" fillId="4" borderId="9" xfId="0" applyFill="1" applyBorder="1" applyAlignment="1">
      <alignment horizontal="left" vertical="center"/>
    </xf>
    <xf numFmtId="0" fontId="0" fillId="0" borderId="11" xfId="0" applyBorder="1" applyAlignment="1">
      <alignment horizontal="left"/>
    </xf>
    <xf numFmtId="0" fontId="0" fillId="0" borderId="7" xfId="0" applyBorder="1" applyAlignment="1">
      <alignment horizontal="left"/>
    </xf>
    <xf numFmtId="11" fontId="0" fillId="0" borderId="3" xfId="0" applyNumberFormat="1" applyBorder="1"/>
    <xf numFmtId="18" fontId="4" fillId="0" borderId="1" xfId="0" applyNumberFormat="1" applyFont="1" applyBorder="1" applyAlignment="1">
      <alignment horizontal="center"/>
    </xf>
    <xf numFmtId="0" fontId="16" fillId="2" borderId="1" xfId="0" applyFont="1" applyFill="1" applyBorder="1" applyAlignment="1">
      <alignment horizontal="left"/>
    </xf>
    <xf numFmtId="0" fontId="22" fillId="0" borderId="0" xfId="0" applyFont="1" applyAlignment="1">
      <alignment horizontal="center"/>
    </xf>
    <xf numFmtId="0" fontId="22" fillId="0" borderId="0" xfId="0" applyFont="1"/>
    <xf numFmtId="0" fontId="0" fillId="2" borderId="0" xfId="0" applyFill="1" applyAlignment="1">
      <alignment vertical="center"/>
    </xf>
    <xf numFmtId="0" fontId="0" fillId="2" borderId="1" xfId="0" applyFill="1" applyBorder="1" applyAlignment="1">
      <alignment horizontal="left"/>
    </xf>
    <xf numFmtId="0" fontId="9" fillId="0" borderId="0" xfId="0" applyFont="1" applyAlignment="1">
      <alignment horizontal="right"/>
    </xf>
    <xf numFmtId="164" fontId="4" fillId="0" borderId="1" xfId="0" applyNumberFormat="1" applyFont="1" applyBorder="1" applyAlignment="1">
      <alignment horizontal="center"/>
    </xf>
    <xf numFmtId="164" fontId="9" fillId="0" borderId="0" xfId="0" applyNumberFormat="1" applyFont="1"/>
    <xf numFmtId="0" fontId="8" fillId="0" borderId="0" xfId="0" applyFont="1" applyAlignment="1">
      <alignment horizontal="left"/>
    </xf>
    <xf numFmtId="0" fontId="30" fillId="0" borderId="0" xfId="0" applyFont="1"/>
    <xf numFmtId="164" fontId="8" fillId="0" borderId="2" xfId="0" applyNumberFormat="1" applyFont="1" applyBorder="1" applyAlignment="1">
      <alignment vertical="center" wrapText="1"/>
    </xf>
    <xf numFmtId="0" fontId="18" fillId="0" borderId="0" xfId="0" applyFont="1" applyAlignment="1">
      <alignment horizontal="center"/>
    </xf>
    <xf numFmtId="0" fontId="18" fillId="0" borderId="0" xfId="0" applyFont="1" applyAlignment="1">
      <alignment horizontal="left"/>
    </xf>
    <xf numFmtId="0" fontId="21" fillId="0" borderId="2" xfId="0" applyFont="1" applyBorder="1" applyAlignment="1">
      <alignment horizontal="center" vertical="center"/>
    </xf>
    <xf numFmtId="0" fontId="21" fillId="0" borderId="6" xfId="0" applyFont="1" applyBorder="1" applyAlignment="1">
      <alignment horizontal="center" vertical="center"/>
    </xf>
    <xf numFmtId="0" fontId="21" fillId="0" borderId="3" xfId="0" applyFont="1" applyBorder="1" applyAlignment="1">
      <alignment horizontal="center" vertical="center"/>
    </xf>
    <xf numFmtId="0" fontId="0" fillId="0" borderId="9" xfId="0" applyBorder="1" applyAlignment="1">
      <alignment horizontal="left"/>
    </xf>
    <xf numFmtId="0" fontId="0" fillId="0" borderId="6" xfId="0" applyBorder="1" applyAlignment="1">
      <alignment horizontal="left"/>
    </xf>
    <xf numFmtId="0" fontId="0" fillId="0" borderId="1" xfId="0" applyBorder="1" applyAlignment="1">
      <alignment horizontal="center" vertical="center"/>
    </xf>
    <xf numFmtId="0" fontId="0" fillId="0" borderId="2" xfId="0" applyBorder="1" applyAlignment="1">
      <alignment horizontal="left"/>
    </xf>
    <xf numFmtId="0" fontId="0" fillId="0" borderId="14"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13" fillId="0" borderId="5" xfId="0" applyFont="1" applyBorder="1" applyAlignment="1">
      <alignment horizontal="center"/>
    </xf>
    <xf numFmtId="0" fontId="0" fillId="0" borderId="5" xfId="0"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165" fontId="0" fillId="0" borderId="2" xfId="0" applyNumberFormat="1" applyBorder="1" applyAlignment="1">
      <alignment horizontal="center" vertical="center"/>
    </xf>
    <xf numFmtId="165" fontId="0" fillId="0" borderId="6" xfId="0" applyNumberFormat="1" applyBorder="1" applyAlignment="1">
      <alignment horizontal="center" vertical="center"/>
    </xf>
    <xf numFmtId="165" fontId="0" fillId="0" borderId="3" xfId="0" applyNumberFormat="1" applyBorder="1" applyAlignment="1">
      <alignment horizontal="center" vertical="center"/>
    </xf>
    <xf numFmtId="165" fontId="0" fillId="0" borderId="1" xfId="0" applyNumberForma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0" fillId="0" borderId="12" xfId="0" applyBorder="1" applyAlignment="1">
      <alignment horizontal="center"/>
    </xf>
    <xf numFmtId="0" fontId="0" fillId="0" borderId="0" xfId="0"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2" fontId="0" fillId="0" borderId="1" xfId="0" applyNumberFormat="1" applyBorder="1" applyAlignment="1">
      <alignment horizontal="center"/>
    </xf>
    <xf numFmtId="0" fontId="0" fillId="0" borderId="0" xfId="0" applyAlignment="1">
      <alignment horizontal="center"/>
    </xf>
    <xf numFmtId="0" fontId="0" fillId="0" borderId="3" xfId="0" applyBorder="1" applyAlignment="1">
      <alignment horizontal="left"/>
    </xf>
    <xf numFmtId="0" fontId="16" fillId="0" borderId="12" xfId="0" applyFont="1" applyBorder="1" applyAlignment="1">
      <alignment horizontal="center"/>
    </xf>
    <xf numFmtId="0" fontId="0" fillId="0" borderId="1" xfId="0" applyBorder="1" applyAlignment="1">
      <alignment horizontal="left"/>
    </xf>
    <xf numFmtId="0" fontId="0" fillId="2" borderId="9" xfId="0" applyFill="1" applyBorder="1" applyAlignment="1">
      <alignment horizontal="center" vertical="center"/>
    </xf>
    <xf numFmtId="0" fontId="0" fillId="2" borderId="15" xfId="0" applyFill="1" applyBorder="1" applyAlignment="1">
      <alignment horizontal="center" vertical="center"/>
    </xf>
    <xf numFmtId="0" fontId="0" fillId="2" borderId="8" xfId="0" applyFill="1"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4" borderId="1" xfId="0" applyFill="1" applyBorder="1" applyAlignment="1">
      <alignment horizontal="left" vertical="center"/>
    </xf>
    <xf numFmtId="0" fontId="0" fillId="4" borderId="9" xfId="0" applyFill="1" applyBorder="1" applyAlignment="1">
      <alignment horizontal="left" vertical="center"/>
    </xf>
    <xf numFmtId="0" fontId="0" fillId="2" borderId="0" xfId="0" applyFill="1" applyAlignment="1">
      <alignment horizontal="center" vertical="center"/>
    </xf>
    <xf numFmtId="0" fontId="0" fillId="4" borderId="1" xfId="0" applyFill="1"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4" xfId="0" applyBorder="1" applyAlignment="1">
      <alignment horizontal="left"/>
    </xf>
    <xf numFmtId="0" fontId="0" fillId="0" borderId="7" xfId="0" applyBorder="1" applyAlignment="1">
      <alignment horizontal="left"/>
    </xf>
    <xf numFmtId="0" fontId="2" fillId="0" borderId="0" xfId="0" applyFont="1" applyAlignment="1">
      <alignment horizontal="center"/>
    </xf>
    <xf numFmtId="0" fontId="3" fillId="0" borderId="0" xfId="0" applyFont="1" applyAlignment="1">
      <alignment horizontal="center"/>
    </xf>
    <xf numFmtId="0" fontId="5" fillId="0" borderId="0" xfId="0" applyFont="1" applyAlignment="1">
      <alignment horizontal="left"/>
    </xf>
    <xf numFmtId="0" fontId="7" fillId="0" borderId="0" xfId="0" applyFont="1" applyAlignment="1">
      <alignment vertical="center"/>
    </xf>
    <xf numFmtId="0" fontId="5" fillId="0" borderId="0" xfId="0" applyFont="1" applyAlignment="1">
      <alignment horizontal="left" vertical="center"/>
    </xf>
    <xf numFmtId="49" fontId="8" fillId="0" borderId="0" xfId="0" applyNumberFormat="1" applyFont="1" applyAlignment="1">
      <alignment horizontal="left"/>
    </xf>
    <xf numFmtId="0" fontId="8" fillId="0" borderId="0" xfId="0" applyFont="1" applyAlignment="1">
      <alignment horizontal="left"/>
    </xf>
    <xf numFmtId="0" fontId="8" fillId="0" borderId="0" xfId="0" applyFont="1" applyAlignment="1">
      <alignment horizontal="right"/>
    </xf>
    <xf numFmtId="0" fontId="6" fillId="0" borderId="0" xfId="0" applyFont="1" applyAlignment="1">
      <alignment horizontal="left"/>
    </xf>
    <xf numFmtId="0" fontId="0" fillId="0" borderId="0" xfId="0" applyAlignment="1">
      <alignment horizontal="left" vertical="top" wrapText="1"/>
    </xf>
    <xf numFmtId="0" fontId="5" fillId="0" borderId="1" xfId="0" applyFont="1" applyBorder="1" applyAlignment="1">
      <alignment horizontal="left"/>
    </xf>
    <xf numFmtId="0" fontId="5" fillId="0" borderId="1" xfId="0" applyFont="1" applyBorder="1" applyAlignment="1">
      <alignment horizontal="left" vertical="center"/>
    </xf>
    <xf numFmtId="0" fontId="6" fillId="0" borderId="1" xfId="0" applyFont="1" applyBorder="1" applyAlignment="1">
      <alignment horizontal="center" vertical="center"/>
    </xf>
    <xf numFmtId="1" fontId="6" fillId="0" borderId="1" xfId="1" applyNumberFormat="1" applyFont="1" applyFill="1" applyBorder="1" applyAlignment="1">
      <alignment horizontal="center" wrapText="1"/>
    </xf>
    <xf numFmtId="165" fontId="8" fillId="0" borderId="1" xfId="0" applyNumberFormat="1" applyFont="1" applyBorder="1" applyAlignment="1">
      <alignment horizontal="center" vertical="center"/>
    </xf>
    <xf numFmtId="164" fontId="8" fillId="0" borderId="1" xfId="0" applyNumberFormat="1" applyFont="1" applyBorder="1" applyAlignment="1">
      <alignment horizontal="center" vertical="center"/>
    </xf>
    <xf numFmtId="165" fontId="8" fillId="0" borderId="1" xfId="0" applyNumberFormat="1" applyFont="1" applyBorder="1" applyAlignment="1">
      <alignment horizontal="center"/>
    </xf>
    <xf numFmtId="0" fontId="8" fillId="0" borderId="1" xfId="0" applyFont="1" applyBorder="1" applyAlignment="1">
      <alignment horizontal="center"/>
    </xf>
    <xf numFmtId="2" fontId="8" fillId="0" borderId="1" xfId="1" applyNumberFormat="1" applyFont="1" applyFill="1" applyBorder="1" applyAlignment="1">
      <alignment horizontal="center"/>
    </xf>
    <xf numFmtId="164" fontId="8" fillId="0" borderId="2" xfId="0" applyNumberFormat="1" applyFont="1" applyBorder="1" applyAlignment="1">
      <alignment horizontal="center" vertical="center"/>
    </xf>
    <xf numFmtId="164" fontId="8" fillId="0" borderId="6" xfId="0" applyNumberFormat="1" applyFont="1" applyBorder="1" applyAlignment="1">
      <alignment horizontal="center" vertical="center"/>
    </xf>
    <xf numFmtId="164" fontId="8" fillId="0" borderId="3" xfId="0" applyNumberFormat="1" applyFont="1" applyBorder="1" applyAlignment="1">
      <alignment horizontal="center" vertical="center"/>
    </xf>
    <xf numFmtId="2" fontId="8" fillId="0" borderId="2" xfId="1" applyNumberFormat="1" applyFont="1" applyFill="1" applyBorder="1" applyAlignment="1">
      <alignment horizontal="center"/>
    </xf>
    <xf numFmtId="2" fontId="8" fillId="0" borderId="6" xfId="1" applyNumberFormat="1" applyFont="1" applyFill="1" applyBorder="1" applyAlignment="1">
      <alignment horizontal="center"/>
    </xf>
    <xf numFmtId="2" fontId="8" fillId="0" borderId="3" xfId="1" applyNumberFormat="1" applyFont="1" applyFill="1" applyBorder="1" applyAlignment="1">
      <alignment horizontal="center"/>
    </xf>
    <xf numFmtId="0" fontId="13" fillId="0" borderId="0" xfId="0" applyFont="1" applyAlignment="1">
      <alignment horizontal="center" vertical="center"/>
    </xf>
    <xf numFmtId="0" fontId="8" fillId="0" borderId="1" xfId="0" applyFont="1" applyBorder="1" applyAlignment="1">
      <alignment horizontal="center" vertical="top"/>
    </xf>
    <xf numFmtId="0" fontId="0" fillId="0" borderId="2" xfId="0" applyBorder="1" applyAlignment="1">
      <alignment horizontal="center" vertical="top" wrapText="1"/>
    </xf>
    <xf numFmtId="0" fontId="0" fillId="0" borderId="6" xfId="0"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horizontal="center" vertical="top"/>
    </xf>
    <xf numFmtId="0" fontId="14"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8" fillId="0" borderId="1" xfId="0" applyFont="1" applyBorder="1" applyAlignment="1">
      <alignment horizontal="center" vertical="top" wrapText="1"/>
    </xf>
    <xf numFmtId="0" fontId="8" fillId="0" borderId="0" xfId="0" applyFont="1" applyAlignment="1">
      <alignment horizontal="center"/>
    </xf>
    <xf numFmtId="0" fontId="10" fillId="0" borderId="0" xfId="0" applyFont="1" applyAlignment="1">
      <alignment horizontal="center" vertical="center" wrapText="1"/>
    </xf>
    <xf numFmtId="0" fontId="8" fillId="0" borderId="0" xfId="0" applyFont="1" applyAlignment="1">
      <alignment horizontal="center" vertical="center"/>
    </xf>
    <xf numFmtId="0" fontId="15" fillId="0" borderId="0" xfId="0" applyFont="1" applyAlignment="1">
      <alignment horizontal="center" vertical="center" wrapText="1"/>
    </xf>
    <xf numFmtId="0" fontId="19" fillId="0" borderId="0" xfId="0" applyFont="1" applyAlignment="1">
      <alignment horizontal="left" vertical="center"/>
    </xf>
    <xf numFmtId="0" fontId="4" fillId="0" borderId="0" xfId="0" applyFont="1" applyAlignment="1">
      <alignment horizontal="left" vertical="center"/>
    </xf>
    <xf numFmtId="49" fontId="0" fillId="0" borderId="1" xfId="0" applyNumberFormat="1" applyBorder="1" applyAlignment="1">
      <alignment horizontal="center" vertical="center" wrapText="1"/>
    </xf>
    <xf numFmtId="0" fontId="12" fillId="0" borderId="0" xfId="0" applyFont="1" applyAlignment="1">
      <alignment horizontal="left" vertical="top" wrapText="1"/>
    </xf>
    <xf numFmtId="0" fontId="12" fillId="0" borderId="0" xfId="0" applyFont="1" applyAlignment="1">
      <alignment horizontal="left"/>
    </xf>
    <xf numFmtId="0" fontId="0" fillId="0" borderId="0" xfId="0" applyAlignment="1">
      <alignment horizontal="left" vertical="center"/>
    </xf>
    <xf numFmtId="0" fontId="10" fillId="0" borderId="0" xfId="0" applyFont="1" applyAlignment="1">
      <alignment horizontal="center"/>
    </xf>
    <xf numFmtId="49" fontId="0" fillId="0" borderId="0" xfId="0" applyNumberFormat="1" applyAlignment="1">
      <alignment horizontal="center" vertical="center" wrapText="1"/>
    </xf>
  </cellXfs>
  <cellStyles count="8">
    <cellStyle name="Comma" xfId="1" builtinId="3"/>
    <cellStyle name="Comma 2" xfId="2" xr:uid="{00000000-0005-0000-0000-000031000000}"/>
    <cellStyle name="Comma 3" xfId="3" xr:uid="{00000000-0005-0000-0000-000032000000}"/>
    <cellStyle name="Normal" xfId="0" builtinId="0"/>
    <cellStyle name="Normal 2" xfId="4" xr:uid="{00000000-0005-0000-0000-000033000000}"/>
    <cellStyle name="Normal 2 2" xfId="5" xr:uid="{00000000-0005-0000-0000-000034000000}"/>
    <cellStyle name="Normal 2 2 2" xfId="6" xr:uid="{00000000-0005-0000-0000-000035000000}"/>
    <cellStyle name="Normal 3" xfId="7" xr:uid="{00000000-0005-0000-0000-000036000000}"/>
  </cellStyles>
  <dxfs count="0"/>
  <tableStyles count="0" defaultTableStyle="TableStyleMedium9" defaultPivotStyle="PivotStyleLight16"/>
  <colors>
    <mruColors>
      <color rgb="FF3399FF"/>
      <color rgb="FF16ABDA"/>
      <color rgb="FF66FF6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5737</xdr:colOff>
      <xdr:row>38</xdr:row>
      <xdr:rowOff>300504</xdr:rowOff>
    </xdr:from>
    <xdr:to>
      <xdr:col>13</xdr:col>
      <xdr:colOff>341220</xdr:colOff>
      <xdr:row>40</xdr:row>
      <xdr:rowOff>92849</xdr:rowOff>
    </xdr:to>
    <xdr:grpSp>
      <xdr:nvGrpSpPr>
        <xdr:cNvPr id="10" name="Group 9">
          <a:extLst>
            <a:ext uri="{FF2B5EF4-FFF2-40B4-BE49-F238E27FC236}">
              <a16:creationId xmlns:a16="http://schemas.microsoft.com/office/drawing/2014/main" id="{00000000-0008-0000-0200-00000A000000}"/>
            </a:ext>
          </a:extLst>
        </xdr:cNvPr>
        <xdr:cNvGrpSpPr>
          <a:grpSpLocks noChangeAspect="1"/>
        </xdr:cNvGrpSpPr>
      </xdr:nvGrpSpPr>
      <xdr:grpSpPr>
        <a:xfrm>
          <a:off x="5737" y="9425454"/>
          <a:ext cx="6555308" cy="544820"/>
          <a:chOff x="1" y="10127720"/>
          <a:chExt cx="6496829" cy="570945"/>
        </a:xfrm>
      </xdr:grpSpPr>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368209" y="10143792"/>
            <a:ext cx="6028239" cy="554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Narrow" panose="020B0606020202030204" pitchFamily="34" charset="0"/>
              </a:rPr>
              <a:t> </a:t>
            </a:r>
            <a:r>
              <a:rPr lang="en-US" sz="920">
                <a:solidFill>
                  <a:sysClr val="windowText" lastClr="000000"/>
                </a:solidFill>
                <a:latin typeface="Arial Narrow" panose="020B0606020202030204" pitchFamily="34" charset="0"/>
                <a:cs typeface="Arial" panose="020B0604020202020204" pitchFamily="7" charset="0"/>
              </a:rPr>
              <a:t>Postal Address: Government Center, Sevilla                                  </a:t>
            </a:r>
            <a:r>
              <a:rPr lang="en-US" sz="920" baseline="0">
                <a:solidFill>
                  <a:sysClr val="windowText" lastClr="000000"/>
                </a:solidFill>
                <a:latin typeface="Arial Narrow" panose="020B0606020202030204" pitchFamily="34" charset="0"/>
                <a:cs typeface="Arial" panose="020B0604020202020204" pitchFamily="7" charset="0"/>
              </a:rPr>
              <a:t>          </a:t>
            </a:r>
            <a:r>
              <a:rPr lang="en-US" sz="920">
                <a:solidFill>
                  <a:sysClr val="windowText" lastClr="000000"/>
                </a:solidFill>
                <a:latin typeface="Arial Narrow" panose="020B0606020202030204" pitchFamily="34" charset="0"/>
                <a:cs typeface="Arial" panose="020B0604020202020204" pitchFamily="7" charset="0"/>
              </a:rPr>
              <a:t>  Tel. No.: (072) 242-0663                                                                                       City of San Fernando, La Union                                                                 </a:t>
            </a:r>
            <a:r>
              <a:rPr lang="en-US" sz="920" baseline="0">
                <a:solidFill>
                  <a:sysClr val="windowText" lastClr="000000"/>
                </a:solidFill>
                <a:latin typeface="Arial Narrow" panose="020B0606020202030204" pitchFamily="34" charset="0"/>
                <a:cs typeface="Arial" panose="020B0604020202020204" pitchFamily="7" charset="0"/>
              </a:rPr>
              <a:t>  </a:t>
            </a:r>
            <a:r>
              <a:rPr lang="en-US" sz="920">
                <a:solidFill>
                  <a:sysClr val="windowText" lastClr="000000"/>
                </a:solidFill>
                <a:latin typeface="Arial Narrow" panose="020B0606020202030204" pitchFamily="34" charset="0"/>
                <a:cs typeface="Arial" panose="020B0604020202020204" pitchFamily="7" charset="0"/>
              </a:rPr>
              <a:t>Mobile No. : +63 9684435399</a:t>
            </a:r>
          </a:p>
          <a:p>
            <a:r>
              <a:rPr lang="en-US" sz="920">
                <a:solidFill>
                  <a:sysClr val="windowText" lastClr="000000"/>
                </a:solidFill>
                <a:latin typeface="Arial Narrow" panose="020B0606020202030204" pitchFamily="34" charset="0"/>
                <a:cs typeface="Arial" panose="020B0604020202020204" pitchFamily="7" charset="0"/>
              </a:rPr>
              <a:t> e-mail address:</a:t>
            </a:r>
            <a:r>
              <a:rPr lang="en-US" sz="920" baseline="0">
                <a:solidFill>
                  <a:sysClr val="windowText" lastClr="000000"/>
                </a:solidFill>
                <a:latin typeface="Arial Narrow" panose="020B0606020202030204" pitchFamily="34" charset="0"/>
                <a:cs typeface="Arial" panose="020B0604020202020204" pitchFamily="7" charset="0"/>
              </a:rPr>
              <a:t> </a:t>
            </a:r>
            <a:r>
              <a:rPr lang="en-US" sz="1000" u="sng">
                <a:solidFill>
                  <a:srgbClr val="3399FF"/>
                </a:solidFill>
                <a:latin typeface="Arial Narrow" panose="020B0606020202030204" pitchFamily="34" charset="0"/>
                <a:cs typeface="Arial" panose="020B0604020202020204" pitchFamily="7" charset="0"/>
              </a:rPr>
              <a:t>rml@region1.dost.gov.</a:t>
            </a:r>
            <a:r>
              <a:rPr lang="en-US" sz="1000" u="none">
                <a:solidFill>
                  <a:srgbClr val="3399FF"/>
                </a:solidFill>
                <a:latin typeface="Arial Narrow" panose="020B0606020202030204" pitchFamily="34" charset="0"/>
                <a:cs typeface="Arial" panose="020B0604020202020204" pitchFamily="7" charset="0"/>
              </a:rPr>
              <a:t>ph</a:t>
            </a:r>
            <a:r>
              <a:rPr lang="en-US" sz="1000" u="none" baseline="0">
                <a:solidFill>
                  <a:srgbClr val="3399FF"/>
                </a:solidFill>
                <a:latin typeface="Arial Narrow" panose="020B0606020202030204" pitchFamily="34" charset="0"/>
                <a:cs typeface="Arial" panose="020B0604020202020204" pitchFamily="7" charset="0"/>
              </a:rPr>
              <a:t>                                           </a:t>
            </a:r>
            <a:r>
              <a:rPr lang="en-US" sz="920" u="none">
                <a:solidFill>
                  <a:sysClr val="windowText" lastClr="000000"/>
                </a:solidFill>
                <a:latin typeface="Arial Narrow" panose="020B0606020202030204" pitchFamily="34" charset="0"/>
                <a:cs typeface="Arial" panose="020B0604020202020204" pitchFamily="7" charset="0"/>
              </a:rPr>
              <a:t>URL</a:t>
            </a:r>
            <a:r>
              <a:rPr lang="en-US" sz="920">
                <a:solidFill>
                  <a:sysClr val="windowText" lastClr="000000"/>
                </a:solidFill>
                <a:latin typeface="Arial Narrow" panose="020B0606020202030204" pitchFamily="34" charset="0"/>
                <a:cs typeface="Arial" panose="020B0604020202020204" pitchFamily="7" charset="0"/>
              </a:rPr>
              <a:t>:  </a:t>
            </a:r>
            <a:r>
              <a:rPr lang="en-US" sz="1000" u="sng">
                <a:solidFill>
                  <a:srgbClr val="3399FF"/>
                </a:solidFill>
                <a:latin typeface="Arial Narrow" panose="020B0606020202030204" pitchFamily="34" charset="0"/>
                <a:cs typeface="Arial" panose="020B0604020202020204" pitchFamily="7" charset="0"/>
              </a:rPr>
              <a:t>http://region1.dost.gov.ph</a:t>
            </a:r>
          </a:p>
        </xdr:txBody>
      </xdr:sp>
      <xdr:sp macro="" textlink="">
        <xdr:nvSpPr>
          <xdr:cNvPr id="15" name="Line 4">
            <a:extLst>
              <a:ext uri="{FF2B5EF4-FFF2-40B4-BE49-F238E27FC236}">
                <a16:creationId xmlns:a16="http://schemas.microsoft.com/office/drawing/2014/main" id="{00000000-0008-0000-0200-00000F000000}"/>
              </a:ext>
            </a:extLst>
          </xdr:cNvPr>
          <xdr:cNvSpPr>
            <a:spLocks noChangeShapeType="1"/>
          </xdr:cNvSpPr>
        </xdr:nvSpPr>
        <xdr:spPr>
          <a:xfrm>
            <a:off x="1" y="10127720"/>
            <a:ext cx="6496829" cy="0"/>
          </a:xfrm>
          <a:prstGeom prst="line">
            <a:avLst/>
          </a:prstGeom>
          <a:noFill/>
          <a:ln w="28575">
            <a:solidFill>
              <a:srgbClr val="000000"/>
            </a:solidFill>
            <a:round/>
          </a:ln>
          <a:extLst>
            <a:ext uri="{909E8E84-426E-40DD-AFC4-6F175D3DCCD1}">
              <a14:hiddenFill xmlns:a14="http://schemas.microsoft.com/office/drawing/2010/main">
                <a:noFill/>
              </a14:hiddenFill>
            </a:ext>
          </a:extLst>
        </xdr:spPr>
      </xdr:sp>
    </xdr:grpSp>
    <xdr:clientData/>
  </xdr:twoCellAnchor>
  <xdr:twoCellAnchor editAs="absolute">
    <xdr:from>
      <xdr:col>0</xdr:col>
      <xdr:colOff>61232</xdr:colOff>
      <xdr:row>93</xdr:row>
      <xdr:rowOff>77774</xdr:rowOff>
    </xdr:from>
    <xdr:to>
      <xdr:col>13</xdr:col>
      <xdr:colOff>364351</xdr:colOff>
      <xdr:row>96</xdr:row>
      <xdr:rowOff>77438</xdr:rowOff>
    </xdr:to>
    <xdr:grpSp>
      <xdr:nvGrpSpPr>
        <xdr:cNvPr id="38" name="Group 37">
          <a:extLst>
            <a:ext uri="{FF2B5EF4-FFF2-40B4-BE49-F238E27FC236}">
              <a16:creationId xmlns:a16="http://schemas.microsoft.com/office/drawing/2014/main" id="{00000000-0008-0000-0200-000026000000}"/>
            </a:ext>
          </a:extLst>
        </xdr:cNvPr>
        <xdr:cNvGrpSpPr>
          <a:grpSpLocks noChangeAspect="1"/>
        </xdr:cNvGrpSpPr>
      </xdr:nvGrpSpPr>
      <xdr:grpSpPr>
        <a:xfrm>
          <a:off x="61232" y="20070749"/>
          <a:ext cx="6522944" cy="542589"/>
          <a:chOff x="0" y="11406484"/>
          <a:chExt cx="6502311" cy="554874"/>
        </a:xfrm>
      </xdr:grpSpPr>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286669" y="11406484"/>
            <a:ext cx="6028239" cy="55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Narrow" panose="020B0606020202030204" pitchFamily="34" charset="0"/>
              </a:rPr>
              <a:t> </a:t>
            </a:r>
            <a:r>
              <a:rPr lang="en-US" sz="920">
                <a:solidFill>
                  <a:sysClr val="windowText" lastClr="000000"/>
                </a:solidFill>
                <a:latin typeface="Arial Narrow" panose="020B0606020202030204" pitchFamily="34" charset="0"/>
                <a:cs typeface="Arial" panose="020B0604020202020204" pitchFamily="7" charset="0"/>
              </a:rPr>
              <a:t>Postal Address:        DMMMSU-MLU Campus, P. O. Box 117                          Tel. No.: (072) 242-0663 – LU, (077) 722-3347 - IS</a:t>
            </a:r>
          </a:p>
          <a:p>
            <a:r>
              <a:rPr lang="en-US" sz="920">
                <a:solidFill>
                  <a:sysClr val="windowText" lastClr="000000"/>
                </a:solidFill>
                <a:latin typeface="Arial Narrow" panose="020B0606020202030204" pitchFamily="34" charset="0"/>
                <a:cs typeface="Arial" panose="020B0604020202020204" pitchFamily="7" charset="0"/>
              </a:rPr>
              <a:t>                                  City of San Fernando, 2500 La Union                                Fax. No.: (072) 888-3399 - ASD</a:t>
            </a:r>
          </a:p>
          <a:p>
            <a:r>
              <a:rPr lang="en-US" sz="920">
                <a:solidFill>
                  <a:sysClr val="windowText" lastClr="000000"/>
                </a:solidFill>
                <a:latin typeface="Arial Narrow" panose="020B0606020202030204" pitchFamily="34" charset="0"/>
                <a:cs typeface="Arial" panose="020B0604020202020204" pitchFamily="7" charset="0"/>
              </a:rPr>
              <a:t> e-mail address:        </a:t>
            </a:r>
            <a:r>
              <a:rPr lang="en-US" sz="920" baseline="0">
                <a:solidFill>
                  <a:sysClr val="windowText" lastClr="000000"/>
                </a:solidFill>
                <a:latin typeface="Arial Narrow" panose="020B0606020202030204" pitchFamily="34" charset="0"/>
                <a:cs typeface="Arial" panose="020B0604020202020204" pitchFamily="7" charset="0"/>
              </a:rPr>
              <a:t> </a:t>
            </a:r>
            <a:r>
              <a:rPr lang="en-US" sz="1000" u="sng">
                <a:solidFill>
                  <a:srgbClr val="3399FF"/>
                </a:solidFill>
                <a:latin typeface="Arial Narrow" panose="020B0606020202030204" pitchFamily="34" charset="0"/>
                <a:cs typeface="Arial" panose="020B0604020202020204" pitchFamily="7" charset="0"/>
              </a:rPr>
              <a:t>dostro1@dost.gov.ph</a:t>
            </a:r>
            <a:r>
              <a:rPr lang="en-US" sz="920">
                <a:solidFill>
                  <a:sysClr val="windowText" lastClr="000000"/>
                </a:solidFill>
                <a:latin typeface="Arial Narrow" panose="020B0606020202030204" pitchFamily="34" charset="0"/>
                <a:cs typeface="Arial" panose="020B0604020202020204" pitchFamily="7" charset="0"/>
              </a:rPr>
              <a:t>                                                        </a:t>
            </a:r>
            <a:r>
              <a:rPr lang="en-US" sz="920" baseline="0">
                <a:solidFill>
                  <a:sysClr val="windowText" lastClr="000000"/>
                </a:solidFill>
                <a:latin typeface="Arial Narrow" panose="020B0606020202030204" pitchFamily="34" charset="0"/>
                <a:cs typeface="Arial" panose="020B0604020202020204" pitchFamily="7" charset="0"/>
              </a:rPr>
              <a:t> </a:t>
            </a:r>
            <a:r>
              <a:rPr lang="en-US" sz="920">
                <a:solidFill>
                  <a:sysClr val="windowText" lastClr="000000"/>
                </a:solidFill>
                <a:latin typeface="Arial Narrow" panose="020B0606020202030204" pitchFamily="34" charset="0"/>
                <a:cs typeface="Arial" panose="020B0604020202020204" pitchFamily="7" charset="0"/>
              </a:rPr>
              <a:t>URL:  </a:t>
            </a:r>
            <a:r>
              <a:rPr lang="en-US" sz="1000" u="sng">
                <a:solidFill>
                  <a:srgbClr val="3399FF"/>
                </a:solidFill>
                <a:latin typeface="Arial Narrow" panose="020B0606020202030204" pitchFamily="34" charset="0"/>
                <a:cs typeface="Arial" panose="020B0604020202020204" pitchFamily="7" charset="0"/>
              </a:rPr>
              <a:t>http://region1.dost.gov.ph</a:t>
            </a:r>
          </a:p>
        </xdr:txBody>
      </xdr:sp>
      <xdr:sp macro="" textlink="">
        <xdr:nvSpPr>
          <xdr:cNvPr id="40" name="Line 4">
            <a:extLst>
              <a:ext uri="{FF2B5EF4-FFF2-40B4-BE49-F238E27FC236}">
                <a16:creationId xmlns:a16="http://schemas.microsoft.com/office/drawing/2014/main" id="{00000000-0008-0000-0200-000028000000}"/>
              </a:ext>
            </a:extLst>
          </xdr:cNvPr>
          <xdr:cNvSpPr>
            <a:spLocks noChangeShapeType="1"/>
          </xdr:cNvSpPr>
        </xdr:nvSpPr>
        <xdr:spPr>
          <a:xfrm>
            <a:off x="0" y="11414841"/>
            <a:ext cx="6502311" cy="0"/>
          </a:xfrm>
          <a:prstGeom prst="line">
            <a:avLst/>
          </a:prstGeom>
          <a:noFill/>
          <a:ln w="28575">
            <a:solidFill>
              <a:srgbClr val="000000"/>
            </a:solidFill>
            <a:round/>
          </a:ln>
          <a:extLst>
            <a:ext uri="{909E8E84-426E-40DD-AFC4-6F175D3DCCD1}">
              <a14:hiddenFill xmlns:a14="http://schemas.microsoft.com/office/drawing/2010/main">
                <a:noFill/>
              </a14:hiddenFill>
            </a:ext>
          </a:extLst>
        </xdr:spPr>
      </xdr:sp>
    </xdr:grpSp>
    <xdr:clientData/>
  </xdr:twoCellAnchor>
  <xdr:twoCellAnchor editAs="absolute">
    <xdr:from>
      <xdr:col>0</xdr:col>
      <xdr:colOff>28576</xdr:colOff>
      <xdr:row>0</xdr:row>
      <xdr:rowOff>54701</xdr:rowOff>
    </xdr:from>
    <xdr:to>
      <xdr:col>13</xdr:col>
      <xdr:colOff>340568</xdr:colOff>
      <xdr:row>5</xdr:row>
      <xdr:rowOff>279873</xdr:rowOff>
    </xdr:to>
    <xdr:grpSp>
      <xdr:nvGrpSpPr>
        <xdr:cNvPr id="6" name="Group 5">
          <a:extLst>
            <a:ext uri="{FF2B5EF4-FFF2-40B4-BE49-F238E27FC236}">
              <a16:creationId xmlns:a16="http://schemas.microsoft.com/office/drawing/2014/main" id="{00000000-0008-0000-0200-000006000000}"/>
            </a:ext>
          </a:extLst>
        </xdr:cNvPr>
        <xdr:cNvGrpSpPr/>
      </xdr:nvGrpSpPr>
      <xdr:grpSpPr>
        <a:xfrm>
          <a:off x="28576" y="54701"/>
          <a:ext cx="6531817" cy="1082422"/>
          <a:chOff x="28576" y="54701"/>
          <a:chExt cx="6376214" cy="1049192"/>
        </a:xfrm>
      </xdr:grpSpPr>
      <xdr:grpSp>
        <xdr:nvGrpSpPr>
          <xdr:cNvPr id="2" name="Group 1">
            <a:extLst>
              <a:ext uri="{FF2B5EF4-FFF2-40B4-BE49-F238E27FC236}">
                <a16:creationId xmlns:a16="http://schemas.microsoft.com/office/drawing/2014/main" id="{00000000-0008-0000-0200-000002000000}"/>
              </a:ext>
            </a:extLst>
          </xdr:cNvPr>
          <xdr:cNvGrpSpPr/>
        </xdr:nvGrpSpPr>
        <xdr:grpSpPr>
          <a:xfrm>
            <a:off x="28576" y="140253"/>
            <a:ext cx="6376214" cy="963640"/>
            <a:chOff x="-119700" y="66782"/>
            <a:chExt cx="5062910" cy="979192"/>
          </a:xfrm>
        </xdr:grpSpPr>
        <xdr:sp macro="" textlink="">
          <xdr:nvSpPr>
            <xdr:cNvPr id="3" name="Text Box 1">
              <a:extLst>
                <a:ext uri="{FF2B5EF4-FFF2-40B4-BE49-F238E27FC236}">
                  <a16:creationId xmlns:a16="http://schemas.microsoft.com/office/drawing/2014/main" id="{00000000-0008-0000-0200-000003000000}"/>
                </a:ext>
              </a:extLst>
            </xdr:cNvPr>
            <xdr:cNvSpPr txBox="1">
              <a:spLocks noChangeArrowheads="1"/>
            </xdr:cNvSpPr>
          </xdr:nvSpPr>
          <xdr:spPr>
            <a:xfrm>
              <a:off x="554461" y="66782"/>
              <a:ext cx="3660752" cy="750738"/>
            </a:xfrm>
            <a:prstGeom prst="rect">
              <a:avLst/>
            </a:prstGeom>
            <a:noFill/>
            <a:ln w="9525">
              <a:noFill/>
              <a:miter lim="800000"/>
            </a:ln>
          </xdr:spPr>
          <xdr:txBody>
            <a:bodyPr vertOverflow="clip" wrap="square" lIns="91440" tIns="45720" rIns="91440" bIns="45720" anchor="t" upright="1"/>
            <a:lstStyle/>
            <a:p>
              <a:pPr algn="l" rtl="0">
                <a:defRPr sz="1000"/>
              </a:pPr>
              <a:r>
                <a:rPr lang="en-PH" sz="1200" b="1" i="0" u="none" strike="noStrike" baseline="0">
                  <a:solidFill>
                    <a:srgbClr val="000000"/>
                  </a:solidFill>
                  <a:latin typeface="Arial" panose="020B0604020202020204"/>
                  <a:cs typeface="Arial" panose="020B0604020202020204"/>
                </a:rPr>
                <a:t>Republic of the Philippines</a:t>
              </a:r>
            </a:p>
            <a:p>
              <a:pPr algn="l" rtl="0">
                <a:defRPr sz="1000"/>
              </a:pPr>
              <a:r>
                <a:rPr lang="en-PH" sz="1300" b="1" i="0" u="none" strike="noStrike" baseline="0">
                  <a:solidFill>
                    <a:srgbClr val="00CCFF"/>
                  </a:solidFill>
                  <a:latin typeface="Arial Black" panose="020B0A04020102020204" pitchFamily="34" charset="0"/>
                </a:rPr>
                <a:t>DEPARTMENT OF SCIENCE AND TECHNOLOGY</a:t>
              </a:r>
            </a:p>
            <a:p>
              <a:pPr algn="l" rtl="0">
                <a:defRPr sz="1000"/>
              </a:pPr>
              <a:r>
                <a:rPr lang="en-PH" sz="1200" b="1" i="0" u="none" strike="noStrike" baseline="0">
                  <a:solidFill>
                    <a:srgbClr val="000000"/>
                  </a:solidFill>
                  <a:latin typeface="Arial" panose="020B0604020202020204"/>
                  <a:cs typeface="Arial" panose="020B0604020202020204"/>
                </a:rPr>
                <a:t>Regional Office No. I</a:t>
              </a:r>
            </a:p>
            <a:p>
              <a:pPr algn="l" rtl="0">
                <a:defRPr sz="1000"/>
              </a:pPr>
              <a:endParaRPr lang="en-PH" sz="1200" b="1" i="0" u="none" strike="noStrike" baseline="0">
                <a:solidFill>
                  <a:srgbClr val="000000"/>
                </a:solidFill>
                <a:latin typeface="Arial" panose="020B0604020202020204"/>
                <a:cs typeface="Arial" panose="020B0604020202020204"/>
              </a:endParaRPr>
            </a:p>
            <a:p>
              <a:pPr algn="l" rtl="0">
                <a:defRPr sz="1000"/>
              </a:pPr>
              <a:endParaRPr lang="en-PH" sz="1100" b="1" i="0" u="none" strike="noStrike" baseline="0">
                <a:solidFill>
                  <a:srgbClr val="000000"/>
                </a:solidFill>
                <a:latin typeface="Times New Roman" panose="02020603050405020304" pitchFamily="12"/>
                <a:cs typeface="Times New Roman" panose="02020603050405020304" pitchFamily="12"/>
              </a:endParaRPr>
            </a:p>
          </xdr:txBody>
        </xdr:sp>
        <xdr:sp macro="" textlink="">
          <xdr:nvSpPr>
            <xdr:cNvPr id="8" name="Line 4">
              <a:extLst>
                <a:ext uri="{FF2B5EF4-FFF2-40B4-BE49-F238E27FC236}">
                  <a16:creationId xmlns:a16="http://schemas.microsoft.com/office/drawing/2014/main" id="{00000000-0008-0000-0200-000008000000}"/>
                </a:ext>
              </a:extLst>
            </xdr:cNvPr>
            <xdr:cNvSpPr>
              <a:spLocks noChangeShapeType="1"/>
            </xdr:cNvSpPr>
          </xdr:nvSpPr>
          <xdr:spPr>
            <a:xfrm flipV="1">
              <a:off x="-119700" y="1045974"/>
              <a:ext cx="5062910" cy="0"/>
            </a:xfrm>
            <a:prstGeom prst="line">
              <a:avLst/>
            </a:prstGeom>
            <a:noFill/>
            <a:ln w="28575">
              <a:solidFill>
                <a:srgbClr val="000000"/>
              </a:solidFill>
              <a:round/>
            </a:ln>
            <a:extLst>
              <a:ext uri="{909E8E84-426E-40DD-AFC4-6F175D3DCCD1}">
                <a14:hiddenFill xmlns:a14="http://schemas.microsoft.com/office/drawing/2010/main">
                  <a:noFill/>
                </a14:hiddenFill>
              </a:ext>
            </a:extLst>
          </xdr:spPr>
        </xdr:sp>
      </xdr:grpSp>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68" y="54701"/>
            <a:ext cx="854120" cy="885942"/>
          </a:xfrm>
          <a:prstGeom prst="rect">
            <a:avLst/>
          </a:prstGeom>
        </xdr:spPr>
      </xdr:pic>
    </xdr:grpSp>
    <xdr:clientData/>
  </xdr:twoCellAnchor>
  <xdr:twoCellAnchor>
    <xdr:from>
      <xdr:col>0</xdr:col>
      <xdr:colOff>57150</xdr:colOff>
      <xdr:row>43</xdr:row>
      <xdr:rowOff>19050</xdr:rowOff>
    </xdr:from>
    <xdr:to>
      <xdr:col>11</xdr:col>
      <xdr:colOff>93696</xdr:colOff>
      <xdr:row>49</xdr:row>
      <xdr:rowOff>122996</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57150" y="10163175"/>
          <a:ext cx="6113496" cy="923096"/>
          <a:chOff x="57150" y="10391775"/>
          <a:chExt cx="6505991" cy="923096"/>
        </a:xfrm>
      </xdr:grpSpPr>
      <xdr:grpSp>
        <xdr:nvGrpSpPr>
          <xdr:cNvPr id="41" name="Group 40">
            <a:extLst>
              <a:ext uri="{FF2B5EF4-FFF2-40B4-BE49-F238E27FC236}">
                <a16:creationId xmlns:a16="http://schemas.microsoft.com/office/drawing/2014/main" id="{00000000-0008-0000-0200-000029000000}"/>
              </a:ext>
            </a:extLst>
          </xdr:cNvPr>
          <xdr:cNvGrpSpPr/>
        </xdr:nvGrpSpPr>
        <xdr:grpSpPr>
          <a:xfrm>
            <a:off x="86923" y="10467801"/>
            <a:ext cx="6476218" cy="847070"/>
            <a:chOff x="-75304" y="66782"/>
            <a:chExt cx="5221237" cy="860738"/>
          </a:xfrm>
        </xdr:grpSpPr>
        <xdr:sp macro="" textlink="">
          <xdr:nvSpPr>
            <xdr:cNvPr id="44" name="Text Box 1">
              <a:extLst>
                <a:ext uri="{FF2B5EF4-FFF2-40B4-BE49-F238E27FC236}">
                  <a16:creationId xmlns:a16="http://schemas.microsoft.com/office/drawing/2014/main" id="{00000000-0008-0000-0200-00002C000000}"/>
                </a:ext>
              </a:extLst>
            </xdr:cNvPr>
            <xdr:cNvSpPr txBox="1">
              <a:spLocks noChangeArrowheads="1"/>
            </xdr:cNvSpPr>
          </xdr:nvSpPr>
          <xdr:spPr>
            <a:xfrm>
              <a:off x="599501" y="66782"/>
              <a:ext cx="3756583" cy="750738"/>
            </a:xfrm>
            <a:prstGeom prst="rect">
              <a:avLst/>
            </a:prstGeom>
            <a:noFill/>
            <a:ln w="9525">
              <a:noFill/>
              <a:miter lim="800000"/>
            </a:ln>
          </xdr:spPr>
          <xdr:txBody>
            <a:bodyPr vertOverflow="clip" wrap="square" lIns="91440" tIns="45720" rIns="91440" bIns="45720" anchor="t" upright="1"/>
            <a:lstStyle/>
            <a:p>
              <a:pPr algn="l" rtl="0">
                <a:defRPr sz="1000"/>
              </a:pPr>
              <a:r>
                <a:rPr lang="en-PH" sz="1200" b="1" i="0" u="none" strike="noStrike" baseline="0">
                  <a:solidFill>
                    <a:srgbClr val="000000"/>
                  </a:solidFill>
                  <a:latin typeface="Arial" panose="020B0604020202020204"/>
                  <a:cs typeface="Arial" panose="020B0604020202020204"/>
                </a:rPr>
                <a:t>Republic of the Philippines</a:t>
              </a:r>
            </a:p>
            <a:p>
              <a:pPr algn="l" rtl="0">
                <a:defRPr sz="1000"/>
              </a:pPr>
              <a:r>
                <a:rPr lang="en-PH" sz="1300" b="1" i="0" u="none" strike="noStrike" baseline="0">
                  <a:solidFill>
                    <a:srgbClr val="00CCFF"/>
                  </a:solidFill>
                  <a:latin typeface="Arial Black" panose="020B0A04020102020204" pitchFamily="34" charset="0"/>
                </a:rPr>
                <a:t>DEPARTMENT OF SCIENCE AND TECHNOLOGY</a:t>
              </a:r>
            </a:p>
            <a:p>
              <a:pPr algn="l" rtl="0">
                <a:defRPr sz="1000"/>
              </a:pPr>
              <a:r>
                <a:rPr lang="en-PH" sz="1200" b="1" i="0" u="none" strike="noStrike" baseline="0">
                  <a:solidFill>
                    <a:srgbClr val="000000"/>
                  </a:solidFill>
                  <a:latin typeface="Arial" panose="020B0604020202020204"/>
                  <a:cs typeface="Arial" panose="020B0604020202020204"/>
                </a:rPr>
                <a:t>Regional Office No. I</a:t>
              </a:r>
            </a:p>
            <a:p>
              <a:pPr algn="l" rtl="0">
                <a:defRPr sz="1000"/>
              </a:pPr>
              <a:endParaRPr lang="en-PH" sz="1200" b="1" i="0" u="none" strike="noStrike" baseline="0">
                <a:solidFill>
                  <a:srgbClr val="000000"/>
                </a:solidFill>
                <a:latin typeface="Arial" panose="020B0604020202020204"/>
                <a:cs typeface="Arial" panose="020B0604020202020204"/>
              </a:endParaRPr>
            </a:p>
            <a:p>
              <a:pPr algn="l" rtl="0">
                <a:defRPr sz="1000"/>
              </a:pPr>
              <a:endParaRPr lang="en-PH" sz="1100" b="1" i="0" u="none" strike="noStrike" baseline="0">
                <a:solidFill>
                  <a:srgbClr val="000000"/>
                </a:solidFill>
                <a:latin typeface="Times New Roman" panose="02020603050405020304" pitchFamily="12"/>
                <a:cs typeface="Times New Roman" panose="02020603050405020304" pitchFamily="12"/>
              </a:endParaRPr>
            </a:p>
          </xdr:txBody>
        </xdr:sp>
        <xdr:sp macro="" textlink="">
          <xdr:nvSpPr>
            <xdr:cNvPr id="45" name="Line 4">
              <a:extLst>
                <a:ext uri="{FF2B5EF4-FFF2-40B4-BE49-F238E27FC236}">
                  <a16:creationId xmlns:a16="http://schemas.microsoft.com/office/drawing/2014/main" id="{00000000-0008-0000-0200-00002D000000}"/>
                </a:ext>
              </a:extLst>
            </xdr:cNvPr>
            <xdr:cNvSpPr>
              <a:spLocks noChangeShapeType="1"/>
            </xdr:cNvSpPr>
          </xdr:nvSpPr>
          <xdr:spPr>
            <a:xfrm flipV="1">
              <a:off x="-75304" y="927520"/>
              <a:ext cx="5221237" cy="0"/>
            </a:xfrm>
            <a:prstGeom prst="line">
              <a:avLst/>
            </a:prstGeom>
            <a:noFill/>
            <a:ln w="28575">
              <a:solidFill>
                <a:srgbClr val="000000"/>
              </a:solidFill>
              <a:round/>
            </a:ln>
            <a:extLst>
              <a:ext uri="{909E8E84-426E-40DD-AFC4-6F175D3DCCD1}">
                <a14:hiddenFill xmlns:a14="http://schemas.microsoft.com/office/drawing/2010/main">
                  <a:noFill/>
                </a14:hiddenFill>
              </a:ext>
            </a:extLst>
          </xdr:spPr>
        </xdr:sp>
      </xdr:grpSp>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0" y="10391775"/>
            <a:ext cx="904875" cy="885942"/>
          </a:xfrm>
          <a:prstGeom prst="rect">
            <a:avLst/>
          </a:prstGeom>
        </xdr:spPr>
      </xdr:pic>
    </xdr:grpSp>
    <xdr:clientData/>
  </xdr:twoCellAnchor>
  <xdr:twoCellAnchor>
    <xdr:from>
      <xdr:col>4</xdr:col>
      <xdr:colOff>481693</xdr:colOff>
      <xdr:row>36</xdr:row>
      <xdr:rowOff>8165</xdr:rowOff>
    </xdr:from>
    <xdr:to>
      <xdr:col>6</xdr:col>
      <xdr:colOff>443593</xdr:colOff>
      <xdr:row>38</xdr:row>
      <xdr:rowOff>323851</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2691130" y="9094470"/>
          <a:ext cx="89535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a:t>Page 1 of 2</a:t>
          </a:r>
        </a:p>
      </xdr:txBody>
    </xdr:sp>
    <xdr:clientData/>
  </xdr:twoCellAnchor>
  <xdr:twoCellAnchor>
    <xdr:from>
      <xdr:col>4</xdr:col>
      <xdr:colOff>456079</xdr:colOff>
      <xdr:row>87</xdr:row>
      <xdr:rowOff>263659</xdr:rowOff>
    </xdr:from>
    <xdr:to>
      <xdr:col>6</xdr:col>
      <xdr:colOff>417979</xdr:colOff>
      <xdr:row>90</xdr:row>
      <xdr:rowOff>31778</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2665730" y="19237325"/>
          <a:ext cx="8953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a:t>Page 2 of 2</a:t>
          </a:r>
        </a:p>
      </xdr:txBody>
    </xdr:sp>
    <xdr:clientData/>
  </xdr:twoCellAnchor>
  <xdr:twoCellAnchor editAs="oneCell">
    <xdr:from>
      <xdr:col>10</xdr:col>
      <xdr:colOff>29308</xdr:colOff>
      <xdr:row>0</xdr:row>
      <xdr:rowOff>58616</xdr:rowOff>
    </xdr:from>
    <xdr:to>
      <xdr:col>13</xdr:col>
      <xdr:colOff>300403</xdr:colOff>
      <xdr:row>5</xdr:row>
      <xdr:rowOff>263769</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91735" y="58420"/>
          <a:ext cx="1109345" cy="1062355"/>
        </a:xfrm>
        <a:prstGeom prst="rect">
          <a:avLst/>
        </a:prstGeom>
      </xdr:spPr>
    </xdr:pic>
    <xdr:clientData/>
  </xdr:twoCellAnchor>
  <xdr:twoCellAnchor editAs="oneCell">
    <xdr:from>
      <xdr:col>9</xdr:col>
      <xdr:colOff>168518</xdr:colOff>
      <xdr:row>41</xdr:row>
      <xdr:rowOff>58616</xdr:rowOff>
    </xdr:from>
    <xdr:to>
      <xdr:col>11</xdr:col>
      <xdr:colOff>36089</xdr:colOff>
      <xdr:row>49</xdr:row>
      <xdr:rowOff>109904</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4"/>
        <a:stretch>
          <a:fillRect/>
        </a:stretch>
      </xdr:blipFill>
      <xdr:spPr>
        <a:xfrm>
          <a:off x="4625975" y="10050145"/>
          <a:ext cx="1076960" cy="10229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R1-052019-MET-0371-MET-065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Testpoints"/>
    </sheetNames>
    <sheetDataSet>
      <sheetData sheetId="0">
        <row r="7">
          <cell r="K7">
            <v>1E+26</v>
          </cell>
          <cell r="N7">
            <v>1</v>
          </cell>
        </row>
        <row r="18">
          <cell r="L18">
            <v>2</v>
          </cell>
        </row>
        <row r="19">
          <cell r="L19">
            <v>1</v>
          </cell>
        </row>
        <row r="40">
          <cell r="E40">
            <v>200</v>
          </cell>
        </row>
        <row r="42">
          <cell r="E42">
            <v>1</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1"/>
  <sheetViews>
    <sheetView zoomScale="112" zoomScaleNormal="112" workbookViewId="0">
      <selection activeCell="F18" sqref="F18"/>
    </sheetView>
  </sheetViews>
  <sheetFormatPr defaultColWidth="9" defaultRowHeight="15"/>
  <cols>
    <col min="1" max="1" width="12.5703125" customWidth="1"/>
    <col min="2" max="2" width="20" customWidth="1"/>
    <col min="3" max="4" width="14.85546875" customWidth="1"/>
    <col min="5" max="5" width="15.5703125" customWidth="1"/>
    <col min="6" max="6" width="15.85546875" customWidth="1"/>
    <col min="7" max="7" width="6" customWidth="1"/>
    <col min="8" max="8" width="5.140625" customWidth="1"/>
    <col min="9" max="9" width="12" customWidth="1"/>
    <col min="10" max="10" width="19.7109375" customWidth="1"/>
    <col min="11" max="11" width="12.28515625" customWidth="1"/>
    <col min="12" max="12" width="28.5703125" customWidth="1"/>
    <col min="13" max="13" width="11" customWidth="1"/>
    <col min="14" max="14" width="11.5703125" customWidth="1"/>
    <col min="15" max="15" width="12.28515625" customWidth="1"/>
    <col min="16" max="16" width="12.140625" customWidth="1"/>
    <col min="17" max="17" width="20.140625" customWidth="1"/>
    <col min="18" max="18" width="18.7109375" customWidth="1"/>
  </cols>
  <sheetData>
    <row r="1" spans="1:18">
      <c r="A1" s="101" t="s">
        <v>0</v>
      </c>
      <c r="B1" s="101"/>
      <c r="C1" s="101"/>
      <c r="D1" s="101"/>
      <c r="E1" s="101"/>
      <c r="F1" s="101"/>
      <c r="G1" s="101"/>
      <c r="H1" s="101"/>
      <c r="I1" s="101"/>
      <c r="J1" s="101"/>
      <c r="K1" s="101"/>
      <c r="L1" s="101"/>
      <c r="M1" s="101"/>
      <c r="N1" s="101"/>
    </row>
    <row r="2" spans="1:18">
      <c r="A2" s="101"/>
      <c r="B2" s="101"/>
      <c r="C2" s="101"/>
      <c r="D2" s="101"/>
      <c r="E2" s="101"/>
      <c r="F2" s="101"/>
      <c r="G2" s="101"/>
      <c r="H2" s="101"/>
      <c r="I2" s="101"/>
      <c r="J2" s="101"/>
      <c r="K2" s="101"/>
      <c r="L2" s="101"/>
      <c r="M2" s="101"/>
      <c r="N2" s="101"/>
    </row>
    <row r="3" spans="1:18">
      <c r="A3" s="102" t="s">
        <v>1</v>
      </c>
      <c r="B3" s="102"/>
      <c r="C3" s="102"/>
      <c r="D3" s="102"/>
      <c r="E3" s="102"/>
      <c r="F3" s="102"/>
      <c r="G3" s="102"/>
      <c r="H3" s="102"/>
      <c r="I3" s="102"/>
      <c r="J3" s="102"/>
      <c r="K3" s="102"/>
      <c r="L3" s="102"/>
      <c r="M3" s="102"/>
      <c r="N3" s="102"/>
    </row>
    <row r="4" spans="1:18" ht="15.75">
      <c r="B4" s="103" t="s">
        <v>2</v>
      </c>
      <c r="C4" s="104"/>
      <c r="D4" s="104"/>
      <c r="E4" s="104"/>
      <c r="F4" s="104"/>
      <c r="G4" s="104"/>
      <c r="H4" s="104"/>
      <c r="I4" s="104"/>
      <c r="J4" s="104"/>
      <c r="K4" s="104"/>
      <c r="L4" s="104"/>
      <c r="M4" s="104"/>
      <c r="N4" s="105"/>
    </row>
    <row r="5" spans="1:18">
      <c r="B5" s="108" t="s">
        <v>3</v>
      </c>
      <c r="C5" s="108"/>
      <c r="D5" s="108"/>
      <c r="E5" s="108"/>
      <c r="F5" s="108"/>
      <c r="G5" s="69" t="s">
        <v>4</v>
      </c>
      <c r="H5" s="59"/>
      <c r="I5" s="59"/>
      <c r="J5" s="59"/>
      <c r="K5" s="59"/>
      <c r="L5" s="59"/>
      <c r="M5" s="59"/>
      <c r="N5" s="62"/>
    </row>
    <row r="6" spans="1:18">
      <c r="B6" s="108"/>
      <c r="C6" s="108"/>
      <c r="D6" s="108"/>
      <c r="E6" s="108"/>
      <c r="F6" s="108"/>
      <c r="G6" s="106" t="s">
        <v>5</v>
      </c>
      <c r="H6" s="106"/>
      <c r="I6" s="106"/>
      <c r="J6" s="106"/>
      <c r="K6" s="106"/>
      <c r="L6" s="107" t="s">
        <v>6</v>
      </c>
      <c r="M6" s="107"/>
      <c r="N6" s="62">
        <v>2</v>
      </c>
    </row>
    <row r="7" spans="1:18">
      <c r="B7" s="108"/>
      <c r="C7" s="108"/>
      <c r="D7" s="108"/>
      <c r="E7" s="108"/>
      <c r="F7" s="108"/>
      <c r="G7" s="109" t="s">
        <v>7</v>
      </c>
      <c r="H7" s="107"/>
      <c r="I7" s="107"/>
      <c r="J7" s="107"/>
      <c r="K7" s="88">
        <v>1E+26</v>
      </c>
      <c r="L7" s="107" t="s">
        <v>8</v>
      </c>
      <c r="M7" s="107"/>
      <c r="N7" s="62">
        <v>1</v>
      </c>
    </row>
    <row r="8" spans="1:18">
      <c r="B8" s="128" t="s">
        <v>9</v>
      </c>
      <c r="C8" s="129"/>
      <c r="D8" s="70"/>
      <c r="E8" s="128" t="s">
        <v>10</v>
      </c>
      <c r="F8" s="132"/>
      <c r="G8" s="133"/>
      <c r="H8" s="134"/>
      <c r="I8" s="136" t="s">
        <v>11</v>
      </c>
      <c r="J8" s="137"/>
      <c r="K8" s="110" t="s">
        <v>12</v>
      </c>
      <c r="L8" s="111"/>
      <c r="M8" s="112" t="s">
        <v>13</v>
      </c>
      <c r="N8" s="112"/>
    </row>
    <row r="9" spans="1:18" ht="18">
      <c r="B9" s="130"/>
      <c r="C9" s="131"/>
      <c r="D9" s="71"/>
      <c r="E9" s="130"/>
      <c r="F9" s="135"/>
      <c r="G9" s="135"/>
      <c r="H9" s="131"/>
      <c r="I9" s="138"/>
      <c r="J9" s="139"/>
      <c r="K9" s="113" t="s">
        <v>14</v>
      </c>
      <c r="L9" s="111"/>
      <c r="M9" s="114" t="s">
        <v>15</v>
      </c>
      <c r="N9" s="115"/>
      <c r="O9" s="127" t="s">
        <v>16</v>
      </c>
      <c r="P9" s="116" t="s">
        <v>17</v>
      </c>
      <c r="Q9" s="117"/>
    </row>
    <row r="10" spans="1:18">
      <c r="B10" s="118">
        <v>0</v>
      </c>
      <c r="C10" s="119"/>
      <c r="D10" s="72"/>
      <c r="E10" s="120"/>
      <c r="F10" s="121"/>
      <c r="G10" s="121"/>
      <c r="H10" s="122"/>
      <c r="I10" s="123">
        <f>ABS(E10-B10)</f>
        <v>0</v>
      </c>
      <c r="J10" s="123"/>
      <c r="K10" s="108">
        <v>2.3E-2</v>
      </c>
      <c r="L10" s="108"/>
      <c r="M10" s="124">
        <f>K10/N6</f>
        <v>1.15E-2</v>
      </c>
      <c r="N10" s="125"/>
      <c r="O10" s="127"/>
      <c r="P10" s="126" t="s">
        <v>18</v>
      </c>
      <c r="Q10" s="126"/>
    </row>
    <row r="11" spans="1:18">
      <c r="B11" s="118">
        <v>50</v>
      </c>
      <c r="C11" s="119"/>
      <c r="D11" s="72"/>
      <c r="E11" s="120"/>
      <c r="F11" s="121"/>
      <c r="G11" s="121"/>
      <c r="H11" s="122"/>
      <c r="I11" s="123">
        <f>ABS(E11-B11)</f>
        <v>50</v>
      </c>
      <c r="J11" s="123"/>
      <c r="K11" s="108">
        <v>2.3E-2</v>
      </c>
      <c r="L11" s="108"/>
      <c r="M11" s="124">
        <f>K11/N6</f>
        <v>1.15E-2</v>
      </c>
      <c r="N11" s="125"/>
    </row>
    <row r="12" spans="1:18">
      <c r="B12" s="140">
        <v>100</v>
      </c>
      <c r="C12" s="140"/>
      <c r="D12" s="60"/>
      <c r="E12" s="123"/>
      <c r="F12" s="123"/>
      <c r="G12" s="123"/>
      <c r="H12" s="123"/>
      <c r="I12" s="123">
        <f>ABS(E12-B12)</f>
        <v>100</v>
      </c>
      <c r="J12" s="123"/>
      <c r="K12" s="108">
        <v>2.3E-2</v>
      </c>
      <c r="L12" s="108"/>
      <c r="M12" s="124">
        <f>K12/N6</f>
        <v>1.15E-2</v>
      </c>
      <c r="N12" s="125"/>
    </row>
    <row r="13" spans="1:18">
      <c r="B13" s="141"/>
      <c r="C13" s="141"/>
      <c r="D13" s="141"/>
      <c r="E13" s="141"/>
      <c r="F13" s="141"/>
      <c r="G13" s="141"/>
      <c r="H13" s="141"/>
      <c r="I13" s="141"/>
      <c r="J13" s="141"/>
      <c r="K13" s="141"/>
      <c r="L13" s="141"/>
      <c r="M13" s="141"/>
      <c r="N13" s="141"/>
      <c r="P13" s="4" t="s">
        <v>19</v>
      </c>
      <c r="Q13" s="7"/>
      <c r="R13" s="7"/>
    </row>
    <row r="14" spans="1:18" ht="15.75">
      <c r="B14" s="141"/>
      <c r="C14" s="141"/>
      <c r="D14" s="141"/>
      <c r="E14" s="141"/>
      <c r="F14" s="141"/>
      <c r="G14" s="141"/>
      <c r="H14" s="141"/>
      <c r="I14" s="141"/>
      <c r="J14" s="141"/>
      <c r="K14" s="141"/>
      <c r="L14" s="141"/>
      <c r="M14" s="141"/>
      <c r="N14" s="141"/>
      <c r="O14" s="4"/>
      <c r="P14" s="7" t="s">
        <v>20</v>
      </c>
      <c r="Q14" s="95" t="s">
        <v>21</v>
      </c>
      <c r="R14" s="95" t="s">
        <v>22</v>
      </c>
    </row>
    <row r="15" spans="1:18" s="48" customFormat="1">
      <c r="A15" s="102" t="s">
        <v>23</v>
      </c>
      <c r="B15" s="102"/>
      <c r="C15" s="102"/>
      <c r="D15" s="102"/>
      <c r="E15" s="102"/>
      <c r="F15" s="102"/>
      <c r="G15" s="102"/>
      <c r="H15" s="102"/>
      <c r="I15" s="102"/>
      <c r="J15" s="102"/>
      <c r="K15" s="102"/>
      <c r="L15" s="102"/>
      <c r="M15" s="102"/>
      <c r="N15" s="102"/>
      <c r="O15" s="7" t="s">
        <v>24</v>
      </c>
      <c r="P15" s="89">
        <v>0.41666666666666702</v>
      </c>
      <c r="Q15" s="96">
        <v>24.6</v>
      </c>
      <c r="R15" s="96">
        <v>53.8</v>
      </c>
    </row>
    <row r="16" spans="1:18" s="48" customFormat="1">
      <c r="A16" s="50"/>
      <c r="B16" s="51" t="s">
        <v>25</v>
      </c>
      <c r="C16" s="73">
        <v>36</v>
      </c>
      <c r="D16" s="74">
        <f>C16+273.15</f>
        <v>309.14999999999998</v>
      </c>
      <c r="E16" s="73">
        <v>100</v>
      </c>
      <c r="F16" s="73">
        <v>121</v>
      </c>
      <c r="G16" s="50"/>
      <c r="H16" s="50"/>
      <c r="I16" s="109" t="s">
        <v>26</v>
      </c>
      <c r="J16" s="107"/>
      <c r="K16" s="142"/>
      <c r="L16" s="55">
        <f>COUNTA(B18:B20)</f>
        <v>3</v>
      </c>
      <c r="M16" s="50"/>
      <c r="N16" s="50"/>
      <c r="O16" s="7" t="s">
        <v>27</v>
      </c>
      <c r="P16" s="89">
        <v>0.60416666666666696</v>
      </c>
      <c r="Q16" s="96">
        <v>24.3</v>
      </c>
      <c r="R16" s="96">
        <v>54.2</v>
      </c>
    </row>
    <row r="17" spans="1:18">
      <c r="A17" s="75"/>
      <c r="B17" s="54"/>
      <c r="C17" s="54" t="s">
        <v>28</v>
      </c>
      <c r="D17" s="76"/>
      <c r="E17" s="54" t="s">
        <v>29</v>
      </c>
      <c r="F17" s="54" t="s">
        <v>30</v>
      </c>
      <c r="G17" s="75"/>
      <c r="H17" s="75"/>
      <c r="I17" s="109" t="s">
        <v>31</v>
      </c>
      <c r="J17" s="107"/>
      <c r="K17" s="142"/>
      <c r="L17" s="55">
        <f>L16-1</f>
        <v>2</v>
      </c>
      <c r="M17" s="75"/>
      <c r="N17" s="75"/>
      <c r="O17" s="4"/>
      <c r="P17" s="4" t="s">
        <v>32</v>
      </c>
      <c r="Q17" s="97">
        <f>AVERAGE(Q15:Q16)</f>
        <v>24.45</v>
      </c>
      <c r="R17" s="97">
        <f>AVERAGE(R15:R16)</f>
        <v>54</v>
      </c>
    </row>
    <row r="18" spans="1:18">
      <c r="B18" s="51" t="s">
        <v>33</v>
      </c>
      <c r="C18" s="77"/>
      <c r="D18" s="78">
        <f>C18+273.15</f>
        <v>273.14999999999998</v>
      </c>
      <c r="E18" s="55"/>
      <c r="F18" s="55"/>
      <c r="G18" t="s">
        <v>15</v>
      </c>
      <c r="H18" s="49"/>
      <c r="I18" s="109" t="s">
        <v>34</v>
      </c>
      <c r="J18" s="107"/>
      <c r="K18" s="142"/>
      <c r="L18" s="55">
        <v>1</v>
      </c>
    </row>
    <row r="19" spans="1:18">
      <c r="B19" s="51" t="s">
        <v>35</v>
      </c>
      <c r="C19" s="77"/>
      <c r="D19" s="78">
        <f>C19+273.15</f>
        <v>273.14999999999998</v>
      </c>
      <c r="E19" s="55"/>
      <c r="F19" s="55"/>
      <c r="G19" t="s">
        <v>15</v>
      </c>
    </row>
    <row r="20" spans="1:18">
      <c r="B20" s="51" t="s">
        <v>36</v>
      </c>
      <c r="C20" s="77"/>
      <c r="D20" s="78">
        <f>C20+273.15</f>
        <v>273.14999999999998</v>
      </c>
      <c r="E20" s="55"/>
      <c r="F20" s="55"/>
      <c r="G20" t="s">
        <v>15</v>
      </c>
      <c r="N20" s="141" t="s">
        <v>37</v>
      </c>
      <c r="O20" s="141"/>
      <c r="P20" s="141"/>
      <c r="Q20" s="141"/>
    </row>
    <row r="21" spans="1:18">
      <c r="B21" s="141"/>
      <c r="C21" s="141"/>
      <c r="D21" s="141"/>
      <c r="E21" s="141"/>
      <c r="F21" s="141"/>
      <c r="G21" s="141"/>
      <c r="H21" s="141"/>
      <c r="I21" s="141"/>
      <c r="J21" s="141"/>
      <c r="K21" s="141"/>
      <c r="L21" s="141"/>
      <c r="N21" s="141"/>
      <c r="O21" s="141"/>
      <c r="P21" s="141"/>
      <c r="Q21" s="141"/>
    </row>
    <row r="22" spans="1:18" ht="15" customHeight="1">
      <c r="A22" s="79"/>
      <c r="B22" s="53" t="s">
        <v>38</v>
      </c>
      <c r="C22" s="79" t="e">
        <f>AVERAGE(C18:C20)</f>
        <v>#DIV/0!</v>
      </c>
      <c r="D22" s="78">
        <f>AVERAGE(D18:D20)</f>
        <v>273.14999999999998</v>
      </c>
      <c r="E22" s="79" t="e">
        <f>AVERAGE(E18:E20)</f>
        <v>#DIV/0!</v>
      </c>
      <c r="F22" s="79" t="e">
        <f>AVERAGE(F18:F20)</f>
        <v>#DIV/0!</v>
      </c>
      <c r="G22" s="80"/>
      <c r="H22" s="80"/>
      <c r="I22" s="79" t="s">
        <v>39</v>
      </c>
      <c r="J22" s="53" t="e">
        <f>SUM(C26:C28)</f>
        <v>#DIV/0!</v>
      </c>
      <c r="K22" s="53" t="e">
        <f>SUM(E26:E28)</f>
        <v>#DIV/0!</v>
      </c>
      <c r="L22" s="53" t="e">
        <f>SUM(F26:F28)</f>
        <v>#DIV/0!</v>
      </c>
      <c r="N22" s="127" t="s">
        <v>40</v>
      </c>
      <c r="O22" s="117" t="s">
        <v>41</v>
      </c>
      <c r="P22" s="117"/>
    </row>
    <row r="23" spans="1:18" ht="18">
      <c r="A23" s="145" t="s">
        <v>42</v>
      </c>
      <c r="B23" s="53" t="s">
        <v>43</v>
      </c>
      <c r="C23" s="79" t="e">
        <f>C18-C22</f>
        <v>#DIV/0!</v>
      </c>
      <c r="D23" s="78">
        <f>D18-D22</f>
        <v>0</v>
      </c>
      <c r="E23" s="79" t="e">
        <f>E18-E22</f>
        <v>#DIV/0!</v>
      </c>
      <c r="F23" s="79" t="e">
        <f>F18-F22</f>
        <v>#DIV/0!</v>
      </c>
      <c r="G23" s="80"/>
      <c r="H23" s="80"/>
      <c r="I23" s="90" t="s">
        <v>44</v>
      </c>
      <c r="J23" s="53" t="e">
        <f>(SQRT((L18/L17)*(J22)))</f>
        <v>#DIV/0!</v>
      </c>
      <c r="K23" s="53" t="e">
        <f>(SQRT((L18/L17)*(K22)))</f>
        <v>#DIV/0!</v>
      </c>
      <c r="L23" s="53" t="e">
        <f>(SQRT((L18/L17)*(L22)))</f>
        <v>#DIV/0!</v>
      </c>
      <c r="N23" s="127"/>
      <c r="O23" s="143" t="s">
        <v>45</v>
      </c>
      <c r="P23" s="126"/>
    </row>
    <row r="24" spans="1:18">
      <c r="A24" s="146"/>
      <c r="B24" s="53" t="s">
        <v>46</v>
      </c>
      <c r="C24" s="79" t="e">
        <f>C19-C22</f>
        <v>#DIV/0!</v>
      </c>
      <c r="D24" s="78">
        <f>D19-D22</f>
        <v>0</v>
      </c>
      <c r="E24" s="79" t="e">
        <f>E19-E22</f>
        <v>#DIV/0!</v>
      </c>
      <c r="F24" s="79" t="e">
        <f>F19-F22</f>
        <v>#DIV/0!</v>
      </c>
      <c r="G24" s="80"/>
      <c r="H24" s="80"/>
      <c r="I24" s="152" t="s">
        <v>47</v>
      </c>
      <c r="J24" s="152"/>
      <c r="K24" s="152"/>
      <c r="L24" s="152"/>
      <c r="P24" s="91" t="s">
        <v>15</v>
      </c>
    </row>
    <row r="25" spans="1:18">
      <c r="A25" s="147"/>
      <c r="B25" s="53" t="s">
        <v>48</v>
      </c>
      <c r="C25" s="79" t="e">
        <f>C20-C22</f>
        <v>#DIV/0!</v>
      </c>
      <c r="D25" s="78">
        <f>D20-D22</f>
        <v>0</v>
      </c>
      <c r="E25" s="79" t="e">
        <f>E20-E22</f>
        <v>#DIV/0!</v>
      </c>
      <c r="F25" s="79" t="e">
        <f>F20-F22</f>
        <v>#DIV/0!</v>
      </c>
      <c r="G25" s="80"/>
      <c r="H25" s="81"/>
      <c r="I25" s="152"/>
      <c r="J25" s="152"/>
      <c r="K25" s="152"/>
      <c r="L25" s="152"/>
      <c r="O25" s="75" t="s">
        <v>28</v>
      </c>
      <c r="P25" s="92" t="e">
        <f>J28/SQRT(L16)</f>
        <v>#DIV/0!</v>
      </c>
    </row>
    <row r="26" spans="1:18">
      <c r="A26" s="145" t="s">
        <v>49</v>
      </c>
      <c r="B26" s="53" t="s">
        <v>43</v>
      </c>
      <c r="C26" s="79" t="e">
        <f>C23^2</f>
        <v>#DIV/0!</v>
      </c>
      <c r="D26" s="79"/>
      <c r="E26" s="79" t="e">
        <f t="shared" ref="E26:F28" si="0">E23^2</f>
        <v>#DIV/0!</v>
      </c>
      <c r="F26" s="79" t="e">
        <f t="shared" si="0"/>
        <v>#DIV/0!</v>
      </c>
      <c r="G26" s="80"/>
      <c r="H26" s="81"/>
      <c r="I26" s="152"/>
      <c r="J26" s="152"/>
      <c r="K26" s="152"/>
      <c r="L26" s="152"/>
      <c r="O26" s="75" t="s">
        <v>29</v>
      </c>
      <c r="P26" s="92" t="e">
        <f>K28/SQRT(L16)</f>
        <v>#DIV/0!</v>
      </c>
    </row>
    <row r="27" spans="1:18">
      <c r="A27" s="146"/>
      <c r="B27" s="53" t="s">
        <v>46</v>
      </c>
      <c r="C27" s="79" t="e">
        <f>C24^2</f>
        <v>#DIV/0!</v>
      </c>
      <c r="D27" s="79"/>
      <c r="E27" s="79" t="e">
        <f t="shared" si="0"/>
        <v>#DIV/0!</v>
      </c>
      <c r="F27" s="79" t="e">
        <f t="shared" si="0"/>
        <v>#DIV/0!</v>
      </c>
      <c r="G27" s="80"/>
      <c r="H27" s="80"/>
      <c r="I27" s="93"/>
      <c r="J27" s="93"/>
      <c r="K27" s="93"/>
      <c r="L27" s="93"/>
      <c r="O27" s="75" t="s">
        <v>30</v>
      </c>
      <c r="P27" s="92" t="e">
        <f>L28/(SQRT(L16))</f>
        <v>#DIV/0!</v>
      </c>
    </row>
    <row r="28" spans="1:18">
      <c r="A28" s="147"/>
      <c r="B28" s="53" t="s">
        <v>48</v>
      </c>
      <c r="C28" s="79" t="e">
        <f>C25^2</f>
        <v>#DIV/0!</v>
      </c>
      <c r="D28" s="79"/>
      <c r="E28" s="79" t="e">
        <f t="shared" si="0"/>
        <v>#DIV/0!</v>
      </c>
      <c r="F28" s="79" t="e">
        <f t="shared" si="0"/>
        <v>#DIV/0!</v>
      </c>
      <c r="G28" s="80"/>
      <c r="H28" s="80"/>
      <c r="I28" s="94" t="s">
        <v>50</v>
      </c>
      <c r="J28" s="53" t="e">
        <f>STDEV(C18:C20)</f>
        <v>#DIV/0!</v>
      </c>
      <c r="K28" s="53" t="e">
        <f>STDEV(E18:E20)</f>
        <v>#DIV/0!</v>
      </c>
      <c r="L28" s="53" t="e">
        <f>STDEV(F18:F20)</f>
        <v>#DIV/0!</v>
      </c>
    </row>
    <row r="29" spans="1:18" ht="15" customHeight="1">
      <c r="B29" s="141"/>
      <c r="C29" s="141"/>
      <c r="D29" s="141"/>
      <c r="E29" s="141"/>
      <c r="F29" s="141"/>
      <c r="G29" s="141"/>
      <c r="H29" s="141"/>
      <c r="I29" s="141"/>
      <c r="J29" s="141"/>
      <c r="K29" s="141"/>
      <c r="L29" s="141"/>
    </row>
    <row r="30" spans="1:18">
      <c r="B30" s="141"/>
      <c r="C30" s="141"/>
      <c r="D30" s="141"/>
      <c r="E30" s="141"/>
      <c r="F30" s="141"/>
      <c r="G30" s="141"/>
      <c r="H30" s="141"/>
      <c r="I30" s="141"/>
      <c r="J30" s="141"/>
      <c r="K30" s="141"/>
      <c r="L30" s="141"/>
    </row>
    <row r="31" spans="1:18" s="48" customFormat="1">
      <c r="A31" s="48" t="s">
        <v>51</v>
      </c>
    </row>
    <row r="32" spans="1:18">
      <c r="B32" s="144" t="s">
        <v>52</v>
      </c>
      <c r="C32" s="144"/>
      <c r="D32" s="54"/>
      <c r="E32" s="55"/>
      <c r="F32" t="s">
        <v>15</v>
      </c>
    </row>
    <row r="33" spans="2:6">
      <c r="B33" s="144" t="s">
        <v>53</v>
      </c>
      <c r="C33" s="144"/>
      <c r="D33" s="54"/>
      <c r="E33" s="55"/>
      <c r="F33" t="s">
        <v>54</v>
      </c>
    </row>
    <row r="34" spans="2:6">
      <c r="B34" s="144" t="s">
        <v>55</v>
      </c>
      <c r="C34" s="144"/>
      <c r="D34" s="54"/>
      <c r="E34" s="82">
        <f>(E32*E33)/SQRT(3)</f>
        <v>0</v>
      </c>
      <c r="F34" s="83"/>
    </row>
    <row r="35" spans="2:6">
      <c r="B35" s="153" t="s">
        <v>56</v>
      </c>
      <c r="C35" s="153"/>
      <c r="D35" s="76"/>
      <c r="E35" s="78">
        <v>0.5</v>
      </c>
    </row>
    <row r="36" spans="2:6">
      <c r="B36" s="153" t="s">
        <v>57</v>
      </c>
      <c r="C36" s="153"/>
      <c r="D36" s="76"/>
      <c r="E36" s="78">
        <v>25.2</v>
      </c>
    </row>
    <row r="37" spans="2:6">
      <c r="B37" s="150" t="s">
        <v>58</v>
      </c>
      <c r="C37" s="150"/>
      <c r="D37" s="84"/>
      <c r="E37" s="78">
        <f>(E35/E36)*100</f>
        <v>1.98412698412698</v>
      </c>
    </row>
    <row r="38" spans="2:6">
      <c r="B38" s="151"/>
      <c r="C38" s="151"/>
      <c r="D38" s="85"/>
      <c r="E38" s="78">
        <v>5</v>
      </c>
      <c r="F38" t="s">
        <v>59</v>
      </c>
    </row>
    <row r="39" spans="2:6">
      <c r="B39" s="154" t="s">
        <v>60</v>
      </c>
      <c r="C39" s="155"/>
      <c r="D39" s="86"/>
      <c r="E39" s="148">
        <f>0.5*(100/E38)^2</f>
        <v>200</v>
      </c>
    </row>
    <row r="40" spans="2:6">
      <c r="B40" s="156" t="s">
        <v>61</v>
      </c>
      <c r="C40" s="157"/>
      <c r="D40" s="87"/>
      <c r="E40" s="149"/>
    </row>
    <row r="41" spans="2:6">
      <c r="B41" s="144" t="s">
        <v>62</v>
      </c>
      <c r="C41" s="144"/>
      <c r="D41" s="54"/>
      <c r="E41" s="55">
        <v>1</v>
      </c>
    </row>
  </sheetData>
  <mergeCells count="61">
    <mergeCell ref="B41:C41"/>
    <mergeCell ref="A23:A25"/>
    <mergeCell ref="A26:A28"/>
    <mergeCell ref="E39:E40"/>
    <mergeCell ref="N22:N23"/>
    <mergeCell ref="B37:C38"/>
    <mergeCell ref="I24:L26"/>
    <mergeCell ref="B34:C34"/>
    <mergeCell ref="B35:C35"/>
    <mergeCell ref="B36:C36"/>
    <mergeCell ref="B39:C39"/>
    <mergeCell ref="B40:C40"/>
    <mergeCell ref="O23:P23"/>
    <mergeCell ref="B29:L29"/>
    <mergeCell ref="B30:L30"/>
    <mergeCell ref="B32:C32"/>
    <mergeCell ref="B33:C33"/>
    <mergeCell ref="I18:K18"/>
    <mergeCell ref="N20:Q20"/>
    <mergeCell ref="B21:L21"/>
    <mergeCell ref="N21:Q21"/>
    <mergeCell ref="O22:P22"/>
    <mergeCell ref="B13:N13"/>
    <mergeCell ref="B14:N14"/>
    <mergeCell ref="A15:N15"/>
    <mergeCell ref="I16:K16"/>
    <mergeCell ref="I17:K17"/>
    <mergeCell ref="B12:C12"/>
    <mergeCell ref="E12:H12"/>
    <mergeCell ref="I12:J12"/>
    <mergeCell ref="K12:L12"/>
    <mergeCell ref="M12:N12"/>
    <mergeCell ref="B11:C11"/>
    <mergeCell ref="E11:H11"/>
    <mergeCell ref="I11:J11"/>
    <mergeCell ref="K11:L11"/>
    <mergeCell ref="M11:N11"/>
    <mergeCell ref="P10:Q10"/>
    <mergeCell ref="O9:O10"/>
    <mergeCell ref="B8:C9"/>
    <mergeCell ref="E8:H9"/>
    <mergeCell ref="I8:J9"/>
    <mergeCell ref="B10:C10"/>
    <mergeCell ref="E10:H10"/>
    <mergeCell ref="I10:J10"/>
    <mergeCell ref="K10:L10"/>
    <mergeCell ref="M10:N10"/>
    <mergeCell ref="K8:L8"/>
    <mergeCell ref="M8:N8"/>
    <mergeCell ref="K9:L9"/>
    <mergeCell ref="M9:N9"/>
    <mergeCell ref="P9:Q9"/>
    <mergeCell ref="A1:N1"/>
    <mergeCell ref="A2:N2"/>
    <mergeCell ref="A3:N3"/>
    <mergeCell ref="B4:N4"/>
    <mergeCell ref="G6:K6"/>
    <mergeCell ref="L6:M6"/>
    <mergeCell ref="B5:F7"/>
    <mergeCell ref="G7:J7"/>
    <mergeCell ref="L7:M7"/>
  </mergeCells>
  <dataValidations count="1">
    <dataValidation type="list" allowBlank="1" showInputMessage="1" showErrorMessage="1" sqref="B31:B33" xr:uid="{00000000-0002-0000-0000-000001000000}">
      <formula1>nomval</formula1>
    </dataValidation>
  </dataValidations>
  <pageMargins left="0.24" right="0.44" top="0.49" bottom="0.75" header="0.56000000000000005" footer="0.3"/>
  <pageSetup paperSize="9" scale="37" fitToHeight="0" orientation="portrait"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Testpoints!$A$2:$A$45</xm:f>
          </x14:formula1>
          <xm:sqref>B26:B29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zoomScale="85" zoomScaleNormal="85" workbookViewId="0">
      <selection activeCell="J30" sqref="J30"/>
    </sheetView>
  </sheetViews>
  <sheetFormatPr defaultColWidth="9" defaultRowHeight="15"/>
  <cols>
    <col min="2" max="2" width="15.85546875" customWidth="1"/>
    <col min="4" max="4" width="11.85546875" customWidth="1"/>
  </cols>
  <sheetData>
    <row r="1" spans="1:11">
      <c r="A1" s="102" t="s">
        <v>63</v>
      </c>
      <c r="B1" s="102"/>
      <c r="C1" s="102"/>
      <c r="D1" s="102"/>
      <c r="E1" s="102"/>
      <c r="F1" s="102"/>
      <c r="G1" s="102"/>
      <c r="H1" s="102"/>
      <c r="I1" s="102"/>
      <c r="J1" s="102"/>
      <c r="K1" s="102"/>
    </row>
    <row r="2" spans="1:11" ht="18.75">
      <c r="A2" s="112" t="s">
        <v>64</v>
      </c>
      <c r="B2" s="112"/>
      <c r="C2" s="51" t="s">
        <v>65</v>
      </c>
      <c r="D2" s="51" t="s">
        <v>66</v>
      </c>
      <c r="E2" s="52" t="s">
        <v>67</v>
      </c>
      <c r="F2" s="51" t="s">
        <v>68</v>
      </c>
      <c r="G2" s="53" t="s">
        <v>69</v>
      </c>
      <c r="H2" s="51" t="s">
        <v>70</v>
      </c>
      <c r="I2" s="51" t="s">
        <v>71</v>
      </c>
      <c r="J2" s="51" t="s">
        <v>72</v>
      </c>
      <c r="K2" s="51" t="s">
        <v>73</v>
      </c>
    </row>
    <row r="3" spans="1:11">
      <c r="A3" s="144" t="s">
        <v>74</v>
      </c>
      <c r="B3" s="144"/>
      <c r="C3" s="51" t="s">
        <v>15</v>
      </c>
      <c r="D3" s="55" t="s">
        <v>75</v>
      </c>
      <c r="E3" s="52" t="s">
        <v>76</v>
      </c>
      <c r="F3" s="56">
        <f>[1]General!K7</f>
        <v>1E+26</v>
      </c>
      <c r="G3" s="57">
        <f>Comp_Sht!M10</f>
        <v>1.15E-2</v>
      </c>
      <c r="H3" s="51">
        <f>[1]General!N7</f>
        <v>1</v>
      </c>
      <c r="I3" s="60">
        <f>(G3*H3)</f>
        <v>1.15E-2</v>
      </c>
      <c r="J3" s="61">
        <f>(I3)^2</f>
        <v>1.3224999999999999E-4</v>
      </c>
      <c r="K3" s="61">
        <f>I3^4/F3</f>
        <v>1.7490062499999998E-34</v>
      </c>
    </row>
    <row r="4" spans="1:11">
      <c r="A4" s="144" t="s">
        <v>77</v>
      </c>
      <c r="B4" s="144"/>
      <c r="C4" s="51" t="s">
        <v>15</v>
      </c>
      <c r="D4" s="55" t="s">
        <v>75</v>
      </c>
      <c r="E4" s="52" t="s">
        <v>78</v>
      </c>
      <c r="F4" s="51">
        <f>[1]General!L18</f>
        <v>2</v>
      </c>
      <c r="G4" s="57" t="e">
        <f>Comp_Sht!P25</f>
        <v>#DIV/0!</v>
      </c>
      <c r="H4" s="51">
        <f>[1]General!L19</f>
        <v>1</v>
      </c>
      <c r="I4" s="60" t="e">
        <f>(G4*H4)</f>
        <v>#DIV/0!</v>
      </c>
      <c r="J4" s="61" t="e">
        <f>(I4)^2</f>
        <v>#DIV/0!</v>
      </c>
      <c r="K4" s="61" t="e">
        <f>I4^4/F4</f>
        <v>#DIV/0!</v>
      </c>
    </row>
    <row r="5" spans="1:11">
      <c r="A5" s="144" t="s">
        <v>79</v>
      </c>
      <c r="B5" s="144"/>
      <c r="C5" s="51" t="s">
        <v>15</v>
      </c>
      <c r="D5" s="55" t="s">
        <v>80</v>
      </c>
      <c r="E5" s="52" t="s">
        <v>76</v>
      </c>
      <c r="F5" s="51">
        <f>[1]General!E40</f>
        <v>200</v>
      </c>
      <c r="G5" s="57">
        <f>Comp_Sht!E34</f>
        <v>0</v>
      </c>
      <c r="H5" s="51">
        <f>[1]General!E42</f>
        <v>1</v>
      </c>
      <c r="I5" s="60">
        <f>(G5*H5)</f>
        <v>0</v>
      </c>
      <c r="J5" s="61">
        <f>(I5)^2</f>
        <v>0</v>
      </c>
      <c r="K5" s="61">
        <f>I5^4/F5</f>
        <v>0</v>
      </c>
    </row>
    <row r="6" spans="1:11">
      <c r="A6" s="58" t="s">
        <v>81</v>
      </c>
      <c r="B6" s="59"/>
      <c r="C6" s="59"/>
      <c r="D6" s="59"/>
      <c r="E6" s="59"/>
      <c r="F6" s="59"/>
      <c r="G6" s="59"/>
      <c r="H6" s="59"/>
      <c r="I6" s="62"/>
      <c r="J6" s="63" t="e">
        <f>SUM(J3:J5)</f>
        <v>#DIV/0!</v>
      </c>
      <c r="K6" s="64" t="e">
        <f>SUM(K3:K5)</f>
        <v>#DIV/0!</v>
      </c>
    </row>
    <row r="7" spans="1:11" ht="18.75">
      <c r="A7" s="58" t="s">
        <v>82</v>
      </c>
      <c r="B7" s="59"/>
      <c r="C7" s="59"/>
      <c r="D7" s="59"/>
      <c r="E7" s="59"/>
      <c r="F7" s="59"/>
      <c r="G7" s="59"/>
      <c r="H7" s="59"/>
      <c r="I7" s="62"/>
      <c r="J7" s="65" t="e">
        <f>SQRT(J6)</f>
        <v>#DIV/0!</v>
      </c>
      <c r="K7" s="62" t="str">
        <f>C3</f>
        <v>°C</v>
      </c>
    </row>
    <row r="8" spans="1:11" ht="18.75">
      <c r="A8" s="58" t="s">
        <v>83</v>
      </c>
      <c r="B8" s="59"/>
      <c r="C8" s="59"/>
      <c r="D8" s="59"/>
      <c r="E8" s="59"/>
      <c r="F8" s="59"/>
      <c r="G8" s="59"/>
      <c r="H8" s="59"/>
      <c r="I8" s="62" t="s">
        <v>84</v>
      </c>
      <c r="J8" s="66" t="e">
        <f>J7^4/K6</f>
        <v>#DIV/0!</v>
      </c>
      <c r="K8" s="62"/>
    </row>
    <row r="9" spans="1:11" ht="18">
      <c r="A9" s="58" t="s">
        <v>85</v>
      </c>
      <c r="B9" s="59"/>
      <c r="C9" s="59"/>
      <c r="D9" s="59"/>
      <c r="E9" s="59"/>
      <c r="F9" s="59"/>
      <c r="G9" s="59"/>
      <c r="H9" s="59"/>
      <c r="I9" s="62"/>
      <c r="J9" s="67" t="e">
        <f>TINV(0.05,J8)</f>
        <v>#DIV/0!</v>
      </c>
      <c r="K9" s="62"/>
    </row>
    <row r="10" spans="1:11" ht="18">
      <c r="A10" s="58" t="s">
        <v>86</v>
      </c>
      <c r="B10" s="59"/>
      <c r="C10" s="59"/>
      <c r="D10" s="59"/>
      <c r="E10" s="59"/>
      <c r="F10" s="59"/>
      <c r="G10" s="59"/>
      <c r="H10" s="59"/>
      <c r="I10" s="62"/>
      <c r="J10" s="68" t="e">
        <f>J7*J9</f>
        <v>#DIV/0!</v>
      </c>
      <c r="K10" s="62" t="str">
        <f>K7</f>
        <v>°C</v>
      </c>
    </row>
    <row r="12" spans="1:11">
      <c r="A12" s="102" t="s">
        <v>87</v>
      </c>
      <c r="B12" s="102"/>
      <c r="C12" s="102"/>
      <c r="D12" s="102"/>
      <c r="E12" s="102"/>
      <c r="F12" s="102"/>
      <c r="G12" s="102"/>
      <c r="H12" s="102"/>
      <c r="I12" s="102"/>
      <c r="J12" s="102"/>
      <c r="K12" s="102"/>
    </row>
    <row r="13" spans="1:11" ht="18.75">
      <c r="A13" s="112" t="s">
        <v>64</v>
      </c>
      <c r="B13" s="112"/>
      <c r="C13" s="51" t="s">
        <v>65</v>
      </c>
      <c r="D13" s="51" t="s">
        <v>66</v>
      </c>
      <c r="E13" s="52" t="s">
        <v>67</v>
      </c>
      <c r="F13" s="51" t="s">
        <v>68</v>
      </c>
      <c r="G13" s="51" t="s">
        <v>69</v>
      </c>
      <c r="H13" s="51" t="s">
        <v>70</v>
      </c>
      <c r="I13" s="51" t="s">
        <v>71</v>
      </c>
      <c r="J13" s="51" t="s">
        <v>72</v>
      </c>
      <c r="K13" s="51" t="s">
        <v>73</v>
      </c>
    </row>
    <row r="14" spans="1:11">
      <c r="A14" s="144" t="s">
        <v>74</v>
      </c>
      <c r="B14" s="144"/>
      <c r="C14" s="51" t="s">
        <v>15</v>
      </c>
      <c r="D14" s="55" t="s">
        <v>75</v>
      </c>
      <c r="E14" s="52" t="s">
        <v>76</v>
      </c>
      <c r="F14" s="56">
        <v>1E+26</v>
      </c>
      <c r="G14" s="57">
        <f>Comp_Sht!M11</f>
        <v>1.15E-2</v>
      </c>
      <c r="H14" s="51">
        <v>1</v>
      </c>
      <c r="I14" s="60">
        <f>(G14*H14)</f>
        <v>1.15E-2</v>
      </c>
      <c r="J14" s="61">
        <f>(I14)^2</f>
        <v>1.3224999999999999E-4</v>
      </c>
      <c r="K14" s="61">
        <f>I14^4/F14</f>
        <v>1.7490062499999998E-34</v>
      </c>
    </row>
    <row r="15" spans="1:11">
      <c r="A15" s="144" t="s">
        <v>77</v>
      </c>
      <c r="B15" s="144"/>
      <c r="C15" s="51" t="s">
        <v>15</v>
      </c>
      <c r="D15" s="55" t="s">
        <v>75</v>
      </c>
      <c r="E15" s="52" t="s">
        <v>78</v>
      </c>
      <c r="F15" s="51">
        <v>2</v>
      </c>
      <c r="G15" s="57" t="e">
        <f>Comp_Sht!P26</f>
        <v>#DIV/0!</v>
      </c>
      <c r="H15" s="51">
        <v>1</v>
      </c>
      <c r="I15" s="60" t="e">
        <f>(G15*H15)</f>
        <v>#DIV/0!</v>
      </c>
      <c r="J15" s="61" t="e">
        <f>(I15)^2</f>
        <v>#DIV/0!</v>
      </c>
      <c r="K15" s="61" t="e">
        <f>I15^4/F15</f>
        <v>#DIV/0!</v>
      </c>
    </row>
    <row r="16" spans="1:11">
      <c r="A16" s="144" t="s">
        <v>79</v>
      </c>
      <c r="B16" s="144"/>
      <c r="C16" s="51" t="s">
        <v>15</v>
      </c>
      <c r="D16" s="55" t="s">
        <v>80</v>
      </c>
      <c r="E16" s="52" t="s">
        <v>76</v>
      </c>
      <c r="F16" s="51">
        <v>200</v>
      </c>
      <c r="G16" s="57">
        <f>Comp_Sht!E34</f>
        <v>0</v>
      </c>
      <c r="H16" s="51">
        <v>1</v>
      </c>
      <c r="I16" s="60">
        <f>(G16*H16)</f>
        <v>0</v>
      </c>
      <c r="J16" s="61">
        <f>(I16)^2</f>
        <v>0</v>
      </c>
      <c r="K16" s="61">
        <f>I16^4/F16</f>
        <v>0</v>
      </c>
    </row>
    <row r="17" spans="1:11">
      <c r="A17" s="58" t="s">
        <v>81</v>
      </c>
      <c r="B17" s="59"/>
      <c r="C17" s="59"/>
      <c r="D17" s="59"/>
      <c r="E17" s="59"/>
      <c r="F17" s="59"/>
      <c r="G17" s="59"/>
      <c r="H17" s="59"/>
      <c r="I17" s="62"/>
      <c r="J17" s="63" t="e">
        <f>SUM(J14:J16)</f>
        <v>#DIV/0!</v>
      </c>
      <c r="K17" s="64" t="e">
        <f>SUM(K14:K16)</f>
        <v>#DIV/0!</v>
      </c>
    </row>
    <row r="18" spans="1:11" ht="18.75">
      <c r="A18" s="58" t="s">
        <v>82</v>
      </c>
      <c r="B18" s="59"/>
      <c r="C18" s="59"/>
      <c r="D18" s="59"/>
      <c r="E18" s="59"/>
      <c r="F18" s="59"/>
      <c r="G18" s="59"/>
      <c r="H18" s="59"/>
      <c r="I18" s="62"/>
      <c r="J18" s="65" t="e">
        <f>SQRT(J17)</f>
        <v>#DIV/0!</v>
      </c>
      <c r="K18" s="62" t="str">
        <f>C14</f>
        <v>°C</v>
      </c>
    </row>
    <row r="19" spans="1:11" ht="18.75">
      <c r="A19" s="58" t="s">
        <v>83</v>
      </c>
      <c r="B19" s="59"/>
      <c r="C19" s="59"/>
      <c r="D19" s="59"/>
      <c r="E19" s="59"/>
      <c r="F19" s="59"/>
      <c r="G19" s="59"/>
      <c r="H19" s="59"/>
      <c r="I19" s="62" t="s">
        <v>84</v>
      </c>
      <c r="J19" s="66" t="e">
        <f>J18^4/K17</f>
        <v>#DIV/0!</v>
      </c>
      <c r="K19" s="62"/>
    </row>
    <row r="20" spans="1:11" ht="18">
      <c r="A20" s="58" t="s">
        <v>85</v>
      </c>
      <c r="B20" s="59"/>
      <c r="C20" s="59"/>
      <c r="D20" s="59"/>
      <c r="E20" s="59"/>
      <c r="F20" s="59"/>
      <c r="G20" s="59"/>
      <c r="H20" s="59"/>
      <c r="I20" s="62"/>
      <c r="J20" s="67" t="e">
        <f>TINV(0.05,J19)</f>
        <v>#DIV/0!</v>
      </c>
      <c r="K20" s="62"/>
    </row>
    <row r="21" spans="1:11" ht="18">
      <c r="A21" s="58" t="s">
        <v>86</v>
      </c>
      <c r="B21" s="59"/>
      <c r="C21" s="59"/>
      <c r="D21" s="59"/>
      <c r="E21" s="59"/>
      <c r="F21" s="59"/>
      <c r="G21" s="59"/>
      <c r="H21" s="59"/>
      <c r="I21" s="62"/>
      <c r="J21" s="68" t="e">
        <f>J18*J20</f>
        <v>#DIV/0!</v>
      </c>
      <c r="K21" s="62" t="str">
        <f>K18</f>
        <v>°C</v>
      </c>
    </row>
    <row r="23" spans="1:11">
      <c r="A23" s="102" t="s">
        <v>88</v>
      </c>
      <c r="B23" s="102"/>
      <c r="C23" s="102"/>
      <c r="D23" s="102"/>
      <c r="E23" s="102"/>
      <c r="F23" s="102"/>
      <c r="G23" s="102"/>
      <c r="H23" s="102"/>
      <c r="I23" s="102"/>
      <c r="J23" s="102"/>
      <c r="K23" s="102"/>
    </row>
    <row r="24" spans="1:11" ht="18.75">
      <c r="A24" s="112" t="s">
        <v>64</v>
      </c>
      <c r="B24" s="112"/>
      <c r="C24" s="51" t="s">
        <v>65</v>
      </c>
      <c r="D24" s="51" t="s">
        <v>66</v>
      </c>
      <c r="E24" s="52" t="s">
        <v>67</v>
      </c>
      <c r="F24" s="51" t="s">
        <v>68</v>
      </c>
      <c r="G24" s="51" t="s">
        <v>69</v>
      </c>
      <c r="H24" s="51" t="s">
        <v>70</v>
      </c>
      <c r="I24" s="51" t="s">
        <v>71</v>
      </c>
      <c r="J24" s="51" t="s">
        <v>72</v>
      </c>
      <c r="K24" s="51" t="s">
        <v>73</v>
      </c>
    </row>
    <row r="25" spans="1:11">
      <c r="A25" s="144" t="s">
        <v>74</v>
      </c>
      <c r="B25" s="144"/>
      <c r="C25" s="51" t="s">
        <v>15</v>
      </c>
      <c r="D25" s="55" t="s">
        <v>75</v>
      </c>
      <c r="E25" s="52" t="s">
        <v>76</v>
      </c>
      <c r="F25" s="56">
        <v>1E+26</v>
      </c>
      <c r="G25" s="57">
        <f>Comp_Sht!M12</f>
        <v>1.15E-2</v>
      </c>
      <c r="H25" s="51">
        <v>1</v>
      </c>
      <c r="I25" s="60">
        <f>(G25*H25)</f>
        <v>1.15E-2</v>
      </c>
      <c r="J25" s="61">
        <f>(I25)^2</f>
        <v>1.3224999999999999E-4</v>
      </c>
      <c r="K25" s="61">
        <f>I25^4/F25</f>
        <v>1.74900625E-34</v>
      </c>
    </row>
    <row r="26" spans="1:11">
      <c r="A26" s="144" t="s">
        <v>77</v>
      </c>
      <c r="B26" s="144"/>
      <c r="C26" s="51" t="s">
        <v>15</v>
      </c>
      <c r="D26" s="55" t="s">
        <v>75</v>
      </c>
      <c r="E26" s="52" t="s">
        <v>78</v>
      </c>
      <c r="F26" s="51">
        <v>2</v>
      </c>
      <c r="G26" s="57" t="e">
        <f>Comp_Sht!P27</f>
        <v>#DIV/0!</v>
      </c>
      <c r="H26" s="51">
        <v>1</v>
      </c>
      <c r="I26" s="60" t="e">
        <f>(G26*H26)</f>
        <v>#DIV/0!</v>
      </c>
      <c r="J26" s="61" t="e">
        <f>(I26)^2</f>
        <v>#DIV/0!</v>
      </c>
      <c r="K26" s="61" t="e">
        <f>I26^4/F26</f>
        <v>#DIV/0!</v>
      </c>
    </row>
    <row r="27" spans="1:11">
      <c r="A27" s="144" t="s">
        <v>79</v>
      </c>
      <c r="B27" s="144"/>
      <c r="C27" s="51" t="s">
        <v>15</v>
      </c>
      <c r="D27" s="55" t="s">
        <v>80</v>
      </c>
      <c r="E27" s="52" t="s">
        <v>76</v>
      </c>
      <c r="F27" s="51">
        <v>200</v>
      </c>
      <c r="G27" s="57">
        <f>Comp_Sht!E34</f>
        <v>0</v>
      </c>
      <c r="H27" s="51">
        <v>1</v>
      </c>
      <c r="I27" s="60">
        <f>(G27*H27)</f>
        <v>0</v>
      </c>
      <c r="J27" s="61">
        <f>(I27)^2</f>
        <v>0</v>
      </c>
      <c r="K27" s="61">
        <f>I27^4/F27</f>
        <v>0</v>
      </c>
    </row>
    <row r="28" spans="1:11">
      <c r="A28" s="58" t="s">
        <v>81</v>
      </c>
      <c r="B28" s="59"/>
      <c r="C28" s="59"/>
      <c r="D28" s="59"/>
      <c r="E28" s="59"/>
      <c r="F28" s="59"/>
      <c r="G28" s="59"/>
      <c r="H28" s="59"/>
      <c r="I28" s="62"/>
      <c r="J28" s="63" t="e">
        <f>SUM(J25:J27)</f>
        <v>#DIV/0!</v>
      </c>
      <c r="K28" s="64" t="e">
        <f>SUM(K25:K27)</f>
        <v>#DIV/0!</v>
      </c>
    </row>
    <row r="29" spans="1:11" ht="18.75">
      <c r="A29" s="58" t="s">
        <v>82</v>
      </c>
      <c r="B29" s="59"/>
      <c r="C29" s="59"/>
      <c r="D29" s="59"/>
      <c r="E29" s="59"/>
      <c r="F29" s="59"/>
      <c r="G29" s="59"/>
      <c r="H29" s="59"/>
      <c r="I29" s="62"/>
      <c r="J29" s="65" t="e">
        <f>SQRT(J28)</f>
        <v>#DIV/0!</v>
      </c>
      <c r="K29" s="62" t="str">
        <f>C25</f>
        <v>°C</v>
      </c>
    </row>
    <row r="30" spans="1:11" ht="18.75">
      <c r="A30" s="58" t="s">
        <v>83</v>
      </c>
      <c r="B30" s="59"/>
      <c r="C30" s="59"/>
      <c r="D30" s="59"/>
      <c r="E30" s="59"/>
      <c r="F30" s="59"/>
      <c r="G30" s="59"/>
      <c r="H30" s="59"/>
      <c r="I30" s="62" t="s">
        <v>84</v>
      </c>
      <c r="J30" s="66" t="e">
        <f>J29^4/K28</f>
        <v>#DIV/0!</v>
      </c>
      <c r="K30" s="62"/>
    </row>
    <row r="31" spans="1:11" ht="18">
      <c r="A31" s="58" t="s">
        <v>85</v>
      </c>
      <c r="B31" s="59"/>
      <c r="C31" s="59"/>
      <c r="D31" s="59"/>
      <c r="E31" s="59"/>
      <c r="F31" s="59"/>
      <c r="G31" s="59"/>
      <c r="H31" s="59"/>
      <c r="I31" s="62"/>
      <c r="J31" s="67" t="e">
        <f>TINV(0.05,J30)</f>
        <v>#DIV/0!</v>
      </c>
      <c r="K31" s="62"/>
    </row>
    <row r="32" spans="1:11" ht="18">
      <c r="A32" s="58" t="s">
        <v>86</v>
      </c>
      <c r="B32" s="59"/>
      <c r="C32" s="59"/>
      <c r="D32" s="59"/>
      <c r="E32" s="59"/>
      <c r="F32" s="59"/>
      <c r="G32" s="59"/>
      <c r="H32" s="59"/>
      <c r="I32" s="62"/>
      <c r="J32" s="68" t="e">
        <f>J29*J31</f>
        <v>#DIV/0!</v>
      </c>
      <c r="K32" s="62" t="str">
        <f>K29</f>
        <v>°C</v>
      </c>
    </row>
  </sheetData>
  <mergeCells count="15">
    <mergeCell ref="A23:K23"/>
    <mergeCell ref="A24:B24"/>
    <mergeCell ref="A25:B25"/>
    <mergeCell ref="A26:B26"/>
    <mergeCell ref="A27:B27"/>
    <mergeCell ref="A12:K12"/>
    <mergeCell ref="A13:B13"/>
    <mergeCell ref="A14:B14"/>
    <mergeCell ref="A15:B15"/>
    <mergeCell ref="A16:B16"/>
    <mergeCell ref="A1:K1"/>
    <mergeCell ref="A2:B2"/>
    <mergeCell ref="A3:B3"/>
    <mergeCell ref="A4:B4"/>
    <mergeCell ref="A5:B5"/>
  </mergeCells>
  <pageMargins left="0.7" right="0.7" top="0.75" bottom="0.75" header="0.3" footer="0.3"/>
  <pageSetup paperSize="9" orientation="portrait"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9"/>
  <sheetViews>
    <sheetView tabSelected="1" view="pageLayout" topLeftCell="A21" zoomScaleNormal="100" workbookViewId="0">
      <selection activeCell="E33" sqref="E33"/>
    </sheetView>
  </sheetViews>
  <sheetFormatPr defaultColWidth="9" defaultRowHeight="15"/>
  <cols>
    <col min="1" max="1" width="2.28515625" customWidth="1"/>
    <col min="2" max="2" width="8.5703125" customWidth="1"/>
    <col min="3" max="3" width="17.28515625" customWidth="1"/>
    <col min="4" max="4" width="5" customWidth="1"/>
    <col min="5" max="5" width="9.28515625" customWidth="1"/>
    <col min="6" max="6" width="4.7109375" customWidth="1"/>
    <col min="7" max="7" width="10.42578125" customWidth="1"/>
    <col min="8" max="8" width="3.140625" customWidth="1"/>
    <col min="9" max="9" width="6.140625" customWidth="1"/>
    <col min="10" max="10" width="7.5703125" customWidth="1"/>
    <col min="11" max="11" width="10.5703125" customWidth="1"/>
    <col min="12" max="12" width="1.42578125" customWidth="1"/>
    <col min="13" max="13" width="0.5703125" customWidth="1"/>
  </cols>
  <sheetData>
    <row r="1" spans="1:12" ht="17.25" customHeight="1"/>
    <row r="2" spans="1:12" ht="11.25" customHeight="1"/>
    <row r="5" spans="1:12" ht="9" customHeight="1"/>
    <row r="6" spans="1:12" ht="33.75" customHeight="1"/>
    <row r="7" spans="1:12" ht="15" customHeight="1">
      <c r="A7" s="158" t="s">
        <v>89</v>
      </c>
      <c r="B7" s="158"/>
      <c r="C7" s="158"/>
      <c r="D7" s="158"/>
      <c r="E7" s="158"/>
      <c r="F7" s="158"/>
      <c r="G7" s="158"/>
      <c r="H7" s="158"/>
      <c r="I7" s="158"/>
      <c r="J7" s="158"/>
      <c r="K7" s="158"/>
    </row>
    <row r="8" spans="1:12" ht="16.5" customHeight="1">
      <c r="L8" s="40"/>
    </row>
    <row r="9" spans="1:12" ht="16.5" customHeight="1">
      <c r="B9" s="159" t="s">
        <v>90</v>
      </c>
      <c r="C9" s="159"/>
      <c r="D9" s="159"/>
      <c r="E9" s="159"/>
      <c r="F9" s="159"/>
      <c r="G9" s="159"/>
      <c r="H9" s="159"/>
      <c r="I9" s="159"/>
      <c r="J9" s="159"/>
      <c r="K9" s="159"/>
    </row>
    <row r="10" spans="1:12" ht="19.5" customHeight="1">
      <c r="B10" s="1"/>
      <c r="C10" s="1"/>
      <c r="D10" s="1"/>
      <c r="E10" s="1"/>
      <c r="F10" s="1"/>
      <c r="G10" s="1"/>
      <c r="H10" s="1"/>
      <c r="I10" s="1"/>
      <c r="J10" s="1"/>
      <c r="K10" s="1"/>
    </row>
    <row r="11" spans="1:12" ht="15.75">
      <c r="B11" s="160" t="s">
        <v>91</v>
      </c>
      <c r="C11" s="160"/>
      <c r="D11" s="2" t="s">
        <v>92</v>
      </c>
      <c r="E11" s="161"/>
      <c r="F11" s="161"/>
      <c r="G11" s="161"/>
      <c r="H11" s="161"/>
      <c r="I11" s="161"/>
      <c r="J11" s="1"/>
      <c r="K11" s="1"/>
    </row>
    <row r="12" spans="1:12" ht="15.75">
      <c r="B12" s="160" t="s">
        <v>93</v>
      </c>
      <c r="C12" s="160"/>
      <c r="D12" s="2" t="s">
        <v>92</v>
      </c>
      <c r="E12" s="161"/>
      <c r="F12" s="161"/>
      <c r="G12" s="161"/>
      <c r="H12" s="161"/>
      <c r="I12" s="161"/>
      <c r="J12" s="1"/>
      <c r="K12" s="1"/>
    </row>
    <row r="13" spans="1:12" ht="15.75">
      <c r="B13" s="162" t="s">
        <v>94</v>
      </c>
      <c r="C13" s="162"/>
      <c r="D13" s="2" t="s">
        <v>92</v>
      </c>
      <c r="E13" s="163"/>
      <c r="F13" s="163"/>
      <c r="G13" s="163"/>
      <c r="H13" s="163"/>
      <c r="I13" s="163"/>
      <c r="J13" s="1"/>
      <c r="K13" s="1"/>
    </row>
    <row r="14" spans="1:12" ht="15.75">
      <c r="B14" s="162" t="s">
        <v>95</v>
      </c>
      <c r="C14" s="162"/>
      <c r="D14" s="2" t="s">
        <v>92</v>
      </c>
      <c r="E14" s="163"/>
      <c r="F14" s="163"/>
      <c r="G14" s="163"/>
      <c r="H14" s="163"/>
      <c r="I14" s="163"/>
      <c r="J14" s="1"/>
      <c r="K14" s="1"/>
    </row>
    <row r="15" spans="1:12" ht="12.75" customHeight="1">
      <c r="B15" s="162" t="s">
        <v>96</v>
      </c>
      <c r="C15" s="162"/>
      <c r="D15" s="2" t="s">
        <v>92</v>
      </c>
      <c r="E15" s="99"/>
      <c r="F15" s="4"/>
      <c r="G15" s="1"/>
      <c r="H15" s="1"/>
      <c r="I15" s="1"/>
      <c r="J15" s="1"/>
      <c r="K15" s="1"/>
    </row>
    <row r="16" spans="1:12">
      <c r="B16" s="5"/>
      <c r="C16" s="6" t="s">
        <v>97</v>
      </c>
      <c r="D16" s="2" t="s">
        <v>92</v>
      </c>
      <c r="E16" s="164"/>
      <c r="F16" s="164"/>
      <c r="G16" s="164"/>
      <c r="H16" s="164"/>
      <c r="I16" s="164"/>
      <c r="J16" s="1"/>
      <c r="K16" s="1"/>
    </row>
    <row r="17" spans="2:15">
      <c r="B17" s="5"/>
      <c r="C17" s="6" t="s">
        <v>98</v>
      </c>
      <c r="D17" s="2" t="s">
        <v>92</v>
      </c>
      <c r="E17" s="163"/>
      <c r="F17" s="163"/>
      <c r="G17" s="163"/>
      <c r="H17" s="163"/>
      <c r="I17" s="163"/>
      <c r="J17" s="1"/>
      <c r="K17" s="1"/>
    </row>
    <row r="18" spans="2:15">
      <c r="B18" s="5"/>
      <c r="C18" s="6" t="s">
        <v>99</v>
      </c>
      <c r="D18" s="2" t="s">
        <v>92</v>
      </c>
      <c r="E18" s="164"/>
      <c r="F18" s="164"/>
      <c r="G18" s="164"/>
      <c r="H18" s="164"/>
      <c r="I18" s="164"/>
      <c r="J18" s="1"/>
      <c r="K18" s="1"/>
    </row>
    <row r="19" spans="2:15">
      <c r="C19" s="6" t="s">
        <v>100</v>
      </c>
      <c r="D19" s="2" t="s">
        <v>92</v>
      </c>
      <c r="E19" s="98"/>
      <c r="F19" s="165" t="s">
        <v>101</v>
      </c>
      <c r="G19" s="165"/>
      <c r="H19" s="3" t="s">
        <v>92</v>
      </c>
      <c r="I19" s="3"/>
      <c r="J19" s="1"/>
      <c r="K19" s="1"/>
    </row>
    <row r="20" spans="2:15">
      <c r="C20" s="6" t="s">
        <v>102</v>
      </c>
      <c r="D20" s="2" t="s">
        <v>92</v>
      </c>
      <c r="E20" s="166"/>
      <c r="F20" s="166"/>
      <c r="G20" s="166"/>
      <c r="H20" s="166"/>
      <c r="I20" s="166"/>
      <c r="J20" s="166"/>
      <c r="K20" s="166"/>
    </row>
    <row r="21" spans="2:15" ht="18.75" customHeight="1">
      <c r="B21" s="1"/>
      <c r="C21" s="6" t="s">
        <v>103</v>
      </c>
      <c r="D21" s="7" t="s">
        <v>92</v>
      </c>
      <c r="E21" s="1"/>
      <c r="F21" s="1"/>
      <c r="G21" s="1"/>
      <c r="H21" s="1"/>
      <c r="I21" s="1"/>
      <c r="J21" s="1"/>
      <c r="K21" s="1"/>
    </row>
    <row r="22" spans="2:15" ht="24.75" customHeight="1">
      <c r="B22" s="8" t="s">
        <v>104</v>
      </c>
      <c r="C22" s="1"/>
      <c r="D22" s="1"/>
      <c r="E22" s="1"/>
      <c r="F22" s="1"/>
      <c r="G22" s="1"/>
      <c r="H22" s="1"/>
      <c r="I22" s="1"/>
      <c r="J22" s="1"/>
      <c r="K22" s="1"/>
    </row>
    <row r="23" spans="2:15" ht="24.75" customHeight="1">
      <c r="B23" s="8"/>
      <c r="C23" s="1"/>
      <c r="D23" s="1"/>
      <c r="E23" s="1"/>
      <c r="F23" s="1"/>
      <c r="G23" s="1"/>
      <c r="H23" s="1"/>
      <c r="I23" s="1"/>
      <c r="J23" s="1"/>
      <c r="K23" s="1"/>
    </row>
    <row r="24" spans="2:15" ht="53.25" customHeight="1">
      <c r="B24" s="167" t="s">
        <v>105</v>
      </c>
      <c r="C24" s="167"/>
      <c r="D24" s="167"/>
      <c r="E24" s="167"/>
      <c r="F24" s="167"/>
      <c r="G24" s="167"/>
      <c r="H24" s="167"/>
      <c r="I24" s="167"/>
      <c r="J24" s="167"/>
      <c r="K24" s="167"/>
      <c r="L24" s="167"/>
      <c r="M24" s="167"/>
    </row>
    <row r="25" spans="2:15" ht="25.5" customHeight="1">
      <c r="B25" s="9"/>
      <c r="C25" s="9"/>
      <c r="D25" s="9"/>
      <c r="E25" s="9"/>
      <c r="F25" s="9"/>
      <c r="G25" s="9"/>
      <c r="H25" s="9"/>
      <c r="I25" s="9"/>
      <c r="J25" s="9"/>
      <c r="K25" s="9"/>
    </row>
    <row r="26" spans="2:15" ht="15.75">
      <c r="B26" s="168" t="s">
        <v>106</v>
      </c>
      <c r="C26" s="168"/>
      <c r="D26" s="10" t="s">
        <v>92</v>
      </c>
      <c r="E26" s="11"/>
      <c r="F26" s="12" t="s">
        <v>107</v>
      </c>
      <c r="G26" s="13"/>
      <c r="H26" s="1"/>
      <c r="I26" s="1"/>
    </row>
    <row r="27" spans="2:15" ht="15" customHeight="1">
      <c r="B27" s="169" t="s">
        <v>108</v>
      </c>
      <c r="C27" s="169"/>
      <c r="D27" s="10" t="s">
        <v>92</v>
      </c>
      <c r="E27" s="100"/>
      <c r="F27" s="14" t="s">
        <v>109</v>
      </c>
      <c r="G27" s="15"/>
      <c r="H27" s="16"/>
      <c r="I27" s="16"/>
      <c r="J27" s="21"/>
      <c r="K27" s="25"/>
    </row>
    <row r="28" spans="2:15" ht="36" customHeight="1">
      <c r="B28" s="16"/>
      <c r="C28" s="17"/>
      <c r="D28" s="16"/>
      <c r="E28" s="17"/>
      <c r="F28" s="18"/>
      <c r="G28" s="19"/>
      <c r="H28" s="20"/>
      <c r="I28" s="22"/>
      <c r="J28" s="3"/>
      <c r="K28" s="25"/>
    </row>
    <row r="29" spans="2:15" ht="29.25" customHeight="1">
      <c r="B29" s="170" t="s">
        <v>110</v>
      </c>
      <c r="C29" s="170"/>
      <c r="D29" s="170" t="s">
        <v>111</v>
      </c>
      <c r="E29" s="170"/>
      <c r="F29" s="170"/>
      <c r="G29" s="170" t="s">
        <v>112</v>
      </c>
      <c r="H29" s="170"/>
      <c r="I29" s="170"/>
      <c r="J29" s="171" t="s">
        <v>113</v>
      </c>
      <c r="K29" s="171"/>
      <c r="L29" s="171"/>
    </row>
    <row r="30" spans="2:15">
      <c r="B30" s="172">
        <f>Comp_Sht!E10</f>
        <v>0</v>
      </c>
      <c r="C30" s="172"/>
      <c r="D30" s="173" t="e">
        <f>Comp_Sht!C22</f>
        <v>#DIV/0!</v>
      </c>
      <c r="E30" s="173"/>
      <c r="F30" s="173"/>
      <c r="G30" s="174" t="e">
        <f>D30-B30</f>
        <v>#DIV/0!</v>
      </c>
      <c r="H30" s="175"/>
      <c r="I30" s="175"/>
      <c r="J30" s="176" t="e">
        <f>Testpoints!J10</f>
        <v>#DIV/0!</v>
      </c>
      <c r="K30" s="176"/>
      <c r="L30" s="176"/>
      <c r="O30" t="s">
        <v>114</v>
      </c>
    </row>
    <row r="31" spans="2:15">
      <c r="B31" s="172">
        <f>Comp_Sht!E11</f>
        <v>0</v>
      </c>
      <c r="C31" s="172"/>
      <c r="D31" s="173" t="e">
        <f>Comp_Sht!E22</f>
        <v>#DIV/0!</v>
      </c>
      <c r="E31" s="173"/>
      <c r="F31" s="173"/>
      <c r="G31" s="174" t="e">
        <f t="shared" ref="G31:G32" si="0">D31-B31</f>
        <v>#DIV/0!</v>
      </c>
      <c r="H31" s="175"/>
      <c r="I31" s="175"/>
      <c r="J31" s="176" t="e">
        <f>Testpoints!J21</f>
        <v>#DIV/0!</v>
      </c>
      <c r="K31" s="176"/>
      <c r="L31" s="176"/>
    </row>
    <row r="32" spans="2:15">
      <c r="B32" s="172">
        <f>Comp_Sht!E12</f>
        <v>0</v>
      </c>
      <c r="C32" s="172"/>
      <c r="D32" s="177" t="e">
        <f>Comp_Sht!F22</f>
        <v>#DIV/0!</v>
      </c>
      <c r="E32" s="178"/>
      <c r="F32" s="179"/>
      <c r="G32" s="174" t="e">
        <f t="shared" si="0"/>
        <v>#DIV/0!</v>
      </c>
      <c r="H32" s="175"/>
      <c r="I32" s="175"/>
      <c r="J32" s="180" t="e">
        <f>Testpoints!J32</f>
        <v>#DIV/0!</v>
      </c>
      <c r="K32" s="181"/>
      <c r="L32" s="182"/>
    </row>
    <row r="33" spans="1:13" ht="21.75" customHeight="1">
      <c r="B33" s="21"/>
      <c r="C33" s="22"/>
      <c r="D33" s="21"/>
      <c r="E33" s="22"/>
      <c r="F33" s="23"/>
      <c r="G33" s="24"/>
      <c r="H33" s="25"/>
      <c r="I33" s="22"/>
      <c r="J33" s="3"/>
      <c r="K33" s="25"/>
    </row>
    <row r="34" spans="1:13" ht="83.25" customHeight="1">
      <c r="B34" s="167" t="s">
        <v>115</v>
      </c>
      <c r="C34" s="167"/>
      <c r="D34" s="167"/>
      <c r="E34" s="167"/>
      <c r="F34" s="167"/>
      <c r="G34" s="167"/>
      <c r="H34" s="167"/>
      <c r="I34" s="167"/>
      <c r="J34" s="167"/>
      <c r="K34" s="167"/>
      <c r="L34" s="167"/>
      <c r="M34" s="167"/>
    </row>
    <row r="35" spans="1:13" ht="1.5" customHeight="1">
      <c r="B35" s="1"/>
      <c r="C35" s="26"/>
      <c r="D35" s="27"/>
      <c r="E35" s="28"/>
      <c r="F35" s="23"/>
    </row>
    <row r="36" spans="1:13" ht="1.5" customHeight="1">
      <c r="B36" s="1"/>
      <c r="C36" s="26"/>
      <c r="D36" s="27"/>
      <c r="E36" s="28"/>
      <c r="F36" s="23"/>
    </row>
    <row r="37" spans="1:13" ht="1.5" customHeight="1">
      <c r="B37" s="1"/>
      <c r="C37" s="26"/>
      <c r="D37" s="27"/>
      <c r="E37" s="28"/>
      <c r="F37" s="23"/>
    </row>
    <row r="38" spans="1:13" ht="1.5" customHeight="1">
      <c r="B38" s="1"/>
      <c r="C38" s="26"/>
      <c r="D38" s="27"/>
      <c r="E38" s="28"/>
      <c r="F38" s="23"/>
    </row>
    <row r="39" spans="1:13" ht="48" customHeight="1">
      <c r="B39" s="29"/>
      <c r="C39" s="29"/>
      <c r="D39" s="29"/>
      <c r="E39" s="29"/>
      <c r="F39" s="29"/>
      <c r="G39" s="29"/>
      <c r="H39" s="29"/>
      <c r="I39" s="29"/>
      <c r="J39" s="29"/>
      <c r="K39" s="29"/>
    </row>
    <row r="40" spans="1:13" ht="11.25" customHeight="1">
      <c r="A40" s="127"/>
      <c r="B40" s="127"/>
      <c r="C40" s="127"/>
      <c r="D40" s="127"/>
      <c r="E40" s="127"/>
      <c r="F40" s="127"/>
      <c r="G40" s="127"/>
      <c r="H40" s="127"/>
      <c r="I40" s="127"/>
      <c r="J40" s="127"/>
      <c r="K40" s="127"/>
    </row>
    <row r="41" spans="1:13" ht="9" customHeight="1">
      <c r="B41" s="29"/>
      <c r="C41" s="29"/>
      <c r="D41" s="29"/>
      <c r="E41" s="29"/>
      <c r="F41" s="29"/>
      <c r="G41" s="29"/>
      <c r="H41" s="29"/>
      <c r="I41" s="29"/>
      <c r="J41" s="29"/>
      <c r="K41" s="29"/>
    </row>
    <row r="42" spans="1:13" ht="12" customHeight="1">
      <c r="B42" s="29"/>
      <c r="C42" s="29"/>
      <c r="D42" s="29"/>
      <c r="E42" s="29"/>
      <c r="F42" s="29"/>
      <c r="G42" s="29"/>
      <c r="H42" s="29"/>
      <c r="I42" s="29"/>
      <c r="J42" s="29"/>
      <c r="K42" s="29"/>
    </row>
    <row r="43" spans="1:13" ht="12.75" hidden="1" customHeight="1">
      <c r="B43" s="29"/>
      <c r="C43" s="29"/>
      <c r="D43" s="29"/>
      <c r="E43" s="29"/>
      <c r="F43" s="29"/>
      <c r="G43" s="29"/>
      <c r="H43" s="29"/>
      <c r="I43" s="29"/>
      <c r="J43" s="29"/>
      <c r="K43" s="29"/>
    </row>
    <row r="44" spans="1:13" ht="8.25" customHeight="1">
      <c r="B44" s="29"/>
      <c r="C44" s="29"/>
      <c r="D44" s="29"/>
      <c r="E44" s="29"/>
      <c r="F44" s="29"/>
      <c r="G44" s="29"/>
      <c r="H44" s="29"/>
      <c r="I44" s="29"/>
      <c r="J44" s="29"/>
      <c r="K44" s="29"/>
    </row>
    <row r="45" spans="1:13" ht="8.25" customHeight="1">
      <c r="B45" s="29"/>
      <c r="C45" s="29"/>
      <c r="D45" s="29"/>
      <c r="E45" s="29"/>
      <c r="F45" s="29"/>
      <c r="G45" s="29"/>
      <c r="H45" s="29"/>
      <c r="I45" s="29"/>
      <c r="J45" s="29"/>
      <c r="K45" s="29"/>
    </row>
    <row r="46" spans="1:13" ht="12" customHeight="1">
      <c r="B46" s="183"/>
      <c r="C46" s="183"/>
      <c r="D46" s="183"/>
      <c r="E46" s="183"/>
      <c r="F46" s="183"/>
      <c r="G46" s="183"/>
      <c r="H46" s="183"/>
      <c r="I46" s="183"/>
      <c r="J46" s="183"/>
      <c r="K46" s="183"/>
    </row>
    <row r="47" spans="1:13" ht="13.5" customHeight="1">
      <c r="B47" s="31"/>
      <c r="C47" s="31"/>
      <c r="D47" s="31"/>
      <c r="E47" s="31"/>
      <c r="F47" s="31"/>
      <c r="G47" s="31"/>
      <c r="H47" s="31"/>
      <c r="I47" s="31"/>
      <c r="J47" s="31"/>
      <c r="K47" s="31"/>
    </row>
    <row r="48" spans="1:13" ht="15.75" customHeight="1">
      <c r="B48" s="31"/>
      <c r="C48" s="31"/>
      <c r="D48" s="31"/>
      <c r="E48" s="31"/>
      <c r="F48" s="31"/>
      <c r="G48" s="31"/>
      <c r="H48" s="31"/>
      <c r="I48" s="31"/>
      <c r="J48" s="31"/>
      <c r="K48" s="31"/>
    </row>
    <row r="49" spans="2:12" ht="6.75" customHeight="1">
      <c r="B49" s="31"/>
      <c r="C49" s="31"/>
      <c r="D49" s="31"/>
      <c r="E49" s="31"/>
      <c r="F49" s="31"/>
      <c r="G49" s="31"/>
      <c r="H49" s="31"/>
      <c r="I49" s="31"/>
      <c r="J49" s="31"/>
      <c r="K49" s="31"/>
    </row>
    <row r="50" spans="2:12" ht="15.75" customHeight="1">
      <c r="B50" s="31"/>
      <c r="C50" s="31"/>
      <c r="D50" s="31"/>
      <c r="E50" s="31"/>
      <c r="F50" s="31"/>
      <c r="G50" s="31"/>
      <c r="H50" s="31"/>
      <c r="I50" s="31"/>
      <c r="J50" s="31"/>
      <c r="K50" s="31"/>
    </row>
    <row r="51" spans="2:12" ht="16.5" customHeight="1">
      <c r="B51" s="31"/>
      <c r="C51" s="31"/>
      <c r="D51" s="31"/>
      <c r="E51" s="31"/>
      <c r="F51" s="31"/>
      <c r="G51" s="31"/>
      <c r="H51" s="31"/>
      <c r="I51" s="31"/>
      <c r="J51" s="31"/>
      <c r="K51" s="31"/>
    </row>
    <row r="52" spans="2:12" ht="15" customHeight="1">
      <c r="B52" s="32" t="s">
        <v>116</v>
      </c>
    </row>
    <row r="53" spans="2:12" ht="31.5" customHeight="1">
      <c r="B53" s="32"/>
    </row>
    <row r="54" spans="2:12" ht="35.25" customHeight="1">
      <c r="B54" s="184" t="s">
        <v>117</v>
      </c>
      <c r="C54" s="184"/>
      <c r="D54" s="185" t="s">
        <v>118</v>
      </c>
      <c r="E54" s="186"/>
      <c r="F54" s="186"/>
      <c r="G54" s="187"/>
      <c r="H54" s="188" t="s">
        <v>119</v>
      </c>
      <c r="I54" s="188"/>
      <c r="J54" s="188"/>
      <c r="K54" s="188"/>
      <c r="L54" s="188"/>
    </row>
    <row r="55" spans="2:12" ht="35.25" customHeight="1">
      <c r="B55" s="189" t="s">
        <v>120</v>
      </c>
      <c r="C55" s="189"/>
      <c r="D55" s="190" t="s">
        <v>121</v>
      </c>
      <c r="E55" s="191"/>
      <c r="F55" s="191"/>
      <c r="G55" s="192"/>
      <c r="H55" s="200" t="s">
        <v>122</v>
      </c>
      <c r="I55" s="200"/>
      <c r="J55" s="200"/>
      <c r="K55" s="200"/>
      <c r="L55" s="200"/>
    </row>
    <row r="56" spans="2:12" ht="39.75" customHeight="1">
      <c r="B56" s="193" t="s">
        <v>2</v>
      </c>
      <c r="C56" s="193"/>
      <c r="D56" s="190" t="s">
        <v>121</v>
      </c>
      <c r="E56" s="191"/>
      <c r="F56" s="191"/>
      <c r="G56" s="192"/>
      <c r="H56" s="200"/>
      <c r="I56" s="200"/>
      <c r="J56" s="200"/>
      <c r="K56" s="200"/>
      <c r="L56" s="200"/>
    </row>
    <row r="57" spans="2:12" ht="13.5" customHeight="1">
      <c r="B57" s="194"/>
      <c r="C57" s="194"/>
      <c r="D57" s="195"/>
      <c r="E57" s="195"/>
      <c r="F57" s="127"/>
      <c r="G57" s="127"/>
      <c r="H57" s="33"/>
      <c r="I57" s="33"/>
      <c r="J57" s="41"/>
      <c r="K57" s="41"/>
    </row>
    <row r="58" spans="2:12" ht="13.5" customHeight="1">
      <c r="B58" s="194"/>
      <c r="C58" s="194"/>
      <c r="D58" s="195"/>
      <c r="E58" s="195"/>
      <c r="F58" s="127"/>
      <c r="G58" s="127"/>
      <c r="H58" s="33"/>
      <c r="I58" s="33"/>
      <c r="J58" s="41"/>
      <c r="K58" s="41"/>
    </row>
    <row r="59" spans="2:12" ht="3.75" customHeight="1">
      <c r="B59" s="196"/>
      <c r="C59" s="196"/>
      <c r="D59" s="197"/>
      <c r="E59" s="197"/>
      <c r="F59" s="127"/>
      <c r="G59" s="127"/>
      <c r="H59" s="205"/>
      <c r="I59" s="205"/>
      <c r="J59" s="41"/>
      <c r="K59" s="41"/>
    </row>
    <row r="60" spans="2:12" ht="11.25" customHeight="1">
      <c r="B60" s="21"/>
      <c r="C60" s="21"/>
      <c r="D60" s="34"/>
      <c r="E60" s="34"/>
      <c r="F60" s="30"/>
      <c r="G60" s="30"/>
      <c r="H60" s="35"/>
      <c r="I60" s="35"/>
      <c r="J60" s="30"/>
      <c r="K60" s="30"/>
    </row>
    <row r="61" spans="2:12" ht="12" customHeight="1">
      <c r="B61" s="36" t="s">
        <v>123</v>
      </c>
      <c r="C61" s="37"/>
      <c r="D61" s="37"/>
      <c r="E61" s="37"/>
      <c r="F61" s="37"/>
      <c r="G61" s="37"/>
      <c r="H61" s="37"/>
      <c r="I61" s="37"/>
      <c r="J61" s="37"/>
      <c r="K61" s="37"/>
    </row>
    <row r="62" spans="2:12" ht="4.5" customHeight="1">
      <c r="B62" s="37"/>
      <c r="C62" s="37"/>
      <c r="D62" s="37"/>
      <c r="E62" s="37"/>
      <c r="F62" s="37"/>
      <c r="G62" s="37"/>
      <c r="H62" s="37"/>
      <c r="I62" s="37"/>
      <c r="J62" s="37"/>
      <c r="K62" s="37"/>
    </row>
    <row r="63" spans="2:12" ht="16.5" customHeight="1">
      <c r="B63" s="38"/>
      <c r="C63" s="38"/>
      <c r="D63" s="38"/>
      <c r="E63" s="38"/>
      <c r="F63" s="38"/>
      <c r="G63" s="38"/>
      <c r="H63" s="38"/>
      <c r="I63" s="38"/>
      <c r="J63" s="38"/>
      <c r="K63" s="38"/>
    </row>
    <row r="64" spans="2:12" ht="45" customHeight="1">
      <c r="B64" s="39" t="s">
        <v>124</v>
      </c>
      <c r="C64" s="201" t="s">
        <v>125</v>
      </c>
      <c r="D64" s="201"/>
      <c r="E64" s="201"/>
      <c r="F64" s="201"/>
      <c r="G64" s="201"/>
      <c r="H64" s="201"/>
      <c r="I64" s="201"/>
      <c r="J64" s="201"/>
      <c r="K64" s="201"/>
      <c r="L64" s="201"/>
    </row>
    <row r="65" spans="2:12" ht="19.5" customHeight="1">
      <c r="B65" s="39" t="s">
        <v>124</v>
      </c>
      <c r="C65" s="201" t="s">
        <v>126</v>
      </c>
      <c r="D65" s="201"/>
      <c r="E65" s="201"/>
      <c r="F65" s="201"/>
      <c r="G65" s="201"/>
      <c r="H65" s="201"/>
      <c r="I65" s="201"/>
      <c r="J65" s="201"/>
      <c r="K65" s="201"/>
      <c r="L65" s="38"/>
    </row>
    <row r="66" spans="2:12" ht="19.5" customHeight="1">
      <c r="B66" s="39"/>
      <c r="C66" s="201"/>
      <c r="D66" s="201"/>
      <c r="E66" s="201"/>
      <c r="F66" s="201"/>
      <c r="G66" s="201"/>
      <c r="H66" s="201"/>
      <c r="I66" s="201"/>
      <c r="J66" s="201"/>
      <c r="K66" s="201"/>
      <c r="L66" s="38"/>
    </row>
    <row r="67" spans="2:12" ht="21.75" customHeight="1">
      <c r="B67" s="39" t="s">
        <v>124</v>
      </c>
      <c r="C67" s="201" t="s">
        <v>127</v>
      </c>
      <c r="D67" s="201"/>
      <c r="E67" s="201"/>
      <c r="F67" s="201"/>
      <c r="G67" s="201"/>
      <c r="H67" s="201"/>
      <c r="I67" s="201"/>
      <c r="J67" s="201"/>
      <c r="K67" s="201"/>
      <c r="L67" s="38"/>
    </row>
    <row r="68" spans="2:12">
      <c r="B68" s="39" t="s">
        <v>124</v>
      </c>
      <c r="C68" s="201" t="s">
        <v>128</v>
      </c>
      <c r="D68" s="201"/>
      <c r="E68" s="201"/>
      <c r="F68" s="201"/>
      <c r="G68" s="201"/>
      <c r="H68" s="201"/>
      <c r="I68" s="201"/>
      <c r="J68" s="201"/>
      <c r="K68" s="201"/>
      <c r="L68" s="201"/>
    </row>
    <row r="69" spans="2:12" ht="42.75" customHeight="1">
      <c r="B69" s="39"/>
      <c r="C69" s="201"/>
      <c r="D69" s="201"/>
      <c r="E69" s="201"/>
      <c r="F69" s="201"/>
      <c r="G69" s="201"/>
      <c r="H69" s="201"/>
      <c r="I69" s="201"/>
      <c r="J69" s="201"/>
      <c r="K69" s="201"/>
      <c r="L69" s="201"/>
    </row>
    <row r="70" spans="2:12" ht="27" customHeight="1">
      <c r="B70" s="38"/>
      <c r="C70" s="38"/>
      <c r="D70" s="38"/>
      <c r="E70" s="38"/>
      <c r="F70" s="38"/>
      <c r="G70" s="38"/>
      <c r="H70" s="38"/>
      <c r="I70" s="38"/>
      <c r="J70" s="38"/>
      <c r="K70" s="38"/>
      <c r="L70" s="38"/>
    </row>
    <row r="71" spans="2:12" ht="4.5" customHeight="1">
      <c r="B71" s="42"/>
      <c r="C71" s="42"/>
      <c r="D71" s="42"/>
      <c r="E71" s="42"/>
      <c r="F71" s="42"/>
      <c r="G71" s="42"/>
      <c r="H71" s="42"/>
      <c r="I71" s="42"/>
      <c r="J71" s="42"/>
      <c r="K71" s="42"/>
    </row>
    <row r="72" spans="2:12" ht="13.5" customHeight="1">
      <c r="B72" s="37"/>
      <c r="C72" s="202"/>
      <c r="D72" s="202"/>
      <c r="E72" s="202"/>
      <c r="F72" s="44"/>
      <c r="G72" s="45"/>
      <c r="H72" s="46"/>
      <c r="I72" s="37"/>
      <c r="J72" s="37"/>
      <c r="K72" s="37"/>
    </row>
    <row r="73" spans="2:12" ht="7.5" customHeight="1">
      <c r="B73" s="37"/>
      <c r="C73" s="43"/>
      <c r="D73" s="43"/>
      <c r="E73" s="43"/>
      <c r="F73" s="44"/>
      <c r="G73" s="42"/>
      <c r="H73" s="46"/>
      <c r="I73" s="37"/>
      <c r="J73" s="37"/>
      <c r="K73" s="37"/>
    </row>
    <row r="74" spans="2:12" ht="15.75" customHeight="1">
      <c r="B74" s="32"/>
      <c r="C74" s="37"/>
      <c r="D74" s="37"/>
      <c r="E74" s="37"/>
      <c r="F74" s="37"/>
      <c r="G74" s="37"/>
      <c r="H74" s="37"/>
      <c r="I74" s="37"/>
      <c r="J74" s="37"/>
      <c r="K74" s="37"/>
    </row>
    <row r="75" spans="2:12" ht="4.5" customHeight="1">
      <c r="B75" s="37"/>
      <c r="C75" s="37"/>
      <c r="D75" s="37"/>
      <c r="E75" s="37"/>
      <c r="F75" s="37"/>
      <c r="G75" s="37"/>
      <c r="H75" s="37"/>
      <c r="I75" s="37"/>
      <c r="J75" s="37"/>
      <c r="K75" s="37"/>
    </row>
    <row r="76" spans="2:12" ht="12.75" customHeight="1">
      <c r="F76" s="47"/>
      <c r="G76" s="47"/>
    </row>
    <row r="77" spans="2:12" ht="10.5" customHeight="1">
      <c r="F77" s="47"/>
      <c r="G77" s="47"/>
    </row>
    <row r="78" spans="2:12" ht="11.25" customHeight="1">
      <c r="B78" s="3"/>
      <c r="C78" s="3"/>
      <c r="D78" s="3"/>
      <c r="E78" s="3"/>
      <c r="F78" s="3"/>
      <c r="G78" s="3"/>
    </row>
    <row r="79" spans="2:12" ht="13.5" customHeight="1">
      <c r="B79" s="48"/>
      <c r="C79" s="48" t="s">
        <v>129</v>
      </c>
      <c r="F79" s="3"/>
      <c r="G79" s="3"/>
    </row>
    <row r="80" spans="2:12" ht="12.75" customHeight="1">
      <c r="C80" s="203" t="s">
        <v>130</v>
      </c>
      <c r="D80" s="203"/>
      <c r="E80" s="203"/>
      <c r="F80" s="3"/>
      <c r="G80" s="3"/>
      <c r="H80" s="3"/>
      <c r="I80" s="3"/>
      <c r="J80" s="3"/>
    </row>
    <row r="81" spans="1:12" ht="3.75" customHeight="1">
      <c r="F81" s="3"/>
      <c r="G81" s="3"/>
      <c r="H81" s="3"/>
      <c r="I81" s="3"/>
      <c r="J81" s="3"/>
    </row>
    <row r="82" spans="1:12" ht="6" customHeight="1"/>
    <row r="83" spans="1:12" ht="12.75" customHeight="1">
      <c r="H83" s="48" t="s">
        <v>131</v>
      </c>
      <c r="I83" s="32"/>
      <c r="J83" s="3"/>
    </row>
    <row r="84" spans="1:12" ht="13.5" customHeight="1">
      <c r="H84" s="43" t="s">
        <v>132</v>
      </c>
      <c r="J84" s="3"/>
    </row>
    <row r="85" spans="1:12" ht="15.75" customHeight="1"/>
    <row r="86" spans="1:12" ht="12" customHeight="1"/>
    <row r="87" spans="1:12" ht="6" customHeight="1"/>
    <row r="88" spans="1:12" ht="25.5" customHeight="1">
      <c r="A88" s="127"/>
      <c r="B88" s="127"/>
      <c r="C88" s="127"/>
      <c r="D88" s="127"/>
      <c r="E88" s="127"/>
      <c r="F88" s="127"/>
      <c r="G88" s="127"/>
      <c r="H88" s="127"/>
      <c r="I88" s="127"/>
      <c r="J88" s="127"/>
      <c r="K88" s="127"/>
      <c r="L88" s="127"/>
    </row>
    <row r="89" spans="1:12" ht="6" customHeight="1"/>
    <row r="90" spans="1:12" ht="12.6" customHeight="1"/>
    <row r="91" spans="1:12" ht="12.6" customHeight="1"/>
    <row r="92" spans="1:12" ht="12.6" customHeight="1"/>
    <row r="93" spans="1:12" ht="12.75" customHeight="1">
      <c r="A93" s="141"/>
      <c r="B93" s="141"/>
      <c r="C93" s="141"/>
      <c r="D93" s="141"/>
      <c r="E93" s="141"/>
      <c r="F93" s="141"/>
      <c r="G93" s="141"/>
      <c r="H93" s="141"/>
      <c r="I93" s="141"/>
      <c r="J93" s="141"/>
      <c r="K93" s="141"/>
      <c r="L93" s="141"/>
    </row>
    <row r="94" spans="1:12" ht="14.25" customHeight="1"/>
    <row r="95" spans="1:12" ht="15" customHeight="1">
      <c r="A95" s="204"/>
      <c r="B95" s="141"/>
      <c r="C95" s="141"/>
      <c r="D95" s="141"/>
      <c r="E95" s="141"/>
      <c r="F95" s="141"/>
      <c r="G95" s="141"/>
      <c r="H95" s="141"/>
      <c r="I95" s="141"/>
      <c r="J95" s="141"/>
      <c r="K95" s="141"/>
    </row>
    <row r="96" spans="1:12" ht="13.5" customHeight="1">
      <c r="E96" s="127"/>
      <c r="F96" s="127"/>
      <c r="G96" s="127"/>
      <c r="H96" s="127"/>
    </row>
    <row r="97" spans="2:11" ht="11.25" customHeight="1">
      <c r="B97" s="198"/>
      <c r="C97" s="198"/>
      <c r="D97" s="198"/>
      <c r="E97" s="198"/>
      <c r="F97" s="198"/>
      <c r="G97" s="198"/>
      <c r="H97" s="198"/>
      <c r="I97" s="198"/>
      <c r="J97" s="198"/>
      <c r="K97" s="198"/>
    </row>
    <row r="98" spans="2:11" ht="13.5" customHeight="1">
      <c r="B98" s="198"/>
      <c r="C98" s="198"/>
      <c r="D98" s="198"/>
      <c r="E98" s="198"/>
      <c r="F98" s="198"/>
      <c r="G98" s="198"/>
      <c r="H98" s="198"/>
      <c r="I98" s="198"/>
      <c r="J98" s="198"/>
      <c r="K98" s="198"/>
    </row>
    <row r="99" spans="2:11" ht="12" customHeight="1">
      <c r="B99" s="199"/>
      <c r="C99" s="199"/>
      <c r="D99" s="199"/>
      <c r="E99" s="199"/>
      <c r="F99" s="199"/>
      <c r="G99" s="199"/>
      <c r="H99" s="199"/>
      <c r="I99" s="199"/>
      <c r="J99" s="199"/>
      <c r="K99" s="199"/>
    </row>
  </sheetData>
  <mergeCells count="70">
    <mergeCell ref="E96:H96"/>
    <mergeCell ref="B97:K97"/>
    <mergeCell ref="B98:K98"/>
    <mergeCell ref="B99:K99"/>
    <mergeCell ref="H55:L56"/>
    <mergeCell ref="C65:K66"/>
    <mergeCell ref="C72:E72"/>
    <mergeCell ref="C80:E80"/>
    <mergeCell ref="A88:L88"/>
    <mergeCell ref="A93:L93"/>
    <mergeCell ref="A95:K95"/>
    <mergeCell ref="H59:I59"/>
    <mergeCell ref="C64:L64"/>
    <mergeCell ref="C67:K67"/>
    <mergeCell ref="C68:L68"/>
    <mergeCell ref="C69:L69"/>
    <mergeCell ref="B58:C58"/>
    <mergeCell ref="D58:E58"/>
    <mergeCell ref="F58:G58"/>
    <mergeCell ref="B59:C59"/>
    <mergeCell ref="D59:E59"/>
    <mergeCell ref="F59:G59"/>
    <mergeCell ref="B55:C55"/>
    <mergeCell ref="D55:G55"/>
    <mergeCell ref="B56:C56"/>
    <mergeCell ref="D56:G56"/>
    <mergeCell ref="B57:C57"/>
    <mergeCell ref="D57:E57"/>
    <mergeCell ref="F57:G57"/>
    <mergeCell ref="A40:K40"/>
    <mergeCell ref="B46:K46"/>
    <mergeCell ref="B54:C54"/>
    <mergeCell ref="D54:G54"/>
    <mergeCell ref="H54:L54"/>
    <mergeCell ref="B32:C32"/>
    <mergeCell ref="D32:F32"/>
    <mergeCell ref="G32:I32"/>
    <mergeCell ref="J32:L32"/>
    <mergeCell ref="B34:M34"/>
    <mergeCell ref="B30:C30"/>
    <mergeCell ref="D30:F30"/>
    <mergeCell ref="G30:I30"/>
    <mergeCell ref="J30:L30"/>
    <mergeCell ref="B31:C31"/>
    <mergeCell ref="D31:F31"/>
    <mergeCell ref="G31:I31"/>
    <mergeCell ref="J31:L31"/>
    <mergeCell ref="B24:M24"/>
    <mergeCell ref="B26:C26"/>
    <mergeCell ref="B27:C27"/>
    <mergeCell ref="B29:C29"/>
    <mergeCell ref="D29:F29"/>
    <mergeCell ref="G29:I29"/>
    <mergeCell ref="J29:L29"/>
    <mergeCell ref="E16:I16"/>
    <mergeCell ref="E17:I17"/>
    <mergeCell ref="E18:I18"/>
    <mergeCell ref="F19:G19"/>
    <mergeCell ref="E20:K20"/>
    <mergeCell ref="B13:C13"/>
    <mergeCell ref="E13:I13"/>
    <mergeCell ref="B14:C14"/>
    <mergeCell ref="E14:I14"/>
    <mergeCell ref="B15:C15"/>
    <mergeCell ref="A7:K7"/>
    <mergeCell ref="B9:K9"/>
    <mergeCell ref="B11:C11"/>
    <mergeCell ref="E11:I11"/>
    <mergeCell ref="B12:C12"/>
    <mergeCell ref="E12:I12"/>
  </mergeCells>
  <pageMargins left="0.511811023622047" right="0.196850393700787" top="0.23622047244094499" bottom="0.39370078740157499" header="0.23622047244094499" footer="3.9370078740157501E-2"/>
  <pageSetup paperSize="9" orientation="portrait" verticalDpi="300" r:id="rId1"/>
  <headerFooter>
    <oddHeader>&amp;C
&amp;G</oddHeader>
    <oddFooter>&amp;R
&amp;G
&amp;"-,Italic"&amp;9&amp;K06-021&amp;F</oddFooter>
  </headerFooter>
  <rowBreaks count="1" manualBreakCount="1">
    <brk id="43"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Comp_Sht</vt:lpstr>
      <vt:lpstr>Testpoints</vt:lpstr>
      <vt:lpstr>Cal. Cert.</vt:lpstr>
      <vt:lpstr>mass</vt:lpstr>
      <vt:lpstr>mea</vt:lpstr>
      <vt:lpstr>nomval</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Maria Fernanda Banda</cp:lastModifiedBy>
  <cp:lastPrinted>2025-05-13T00:59:00Z</cp:lastPrinted>
  <dcterms:created xsi:type="dcterms:W3CDTF">2012-11-13T13:32:00Z</dcterms:created>
  <dcterms:modified xsi:type="dcterms:W3CDTF">2025-06-16T07:35:03Z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90D27CEDDF01480C8ACE104D27F7DFC4_12</vt:lpwstr>
  </property>
  <property fmtid="{D5CDD505-2E9C-101B-9397-08002B2CF9AE}" pid="3" name="KSOProductBuildVer">
    <vt:lpwstr>1033-12.2.0.20326</vt:lpwstr>
  </property>
</Properties>
</file>